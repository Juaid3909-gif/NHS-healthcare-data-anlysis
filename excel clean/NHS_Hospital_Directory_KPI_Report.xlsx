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y Region" sheetId="2" state="visible" r:id="rId4"/>
    <sheet name="Top Counties" sheetId="3" state="visible" r:id="rId5"/>
    <sheet name="Parent Organisations" sheetId="4" state="visible" r:id="rId6"/>
    <sheet name="Data Completeness" sheetId="5" state="visible" r:id="rId7"/>
    <sheet name="Data" sheetId="6" state="visible" r:id="rId8"/>
    <sheet name="Cleaning Log" sheetId="7" state="visible" r:id="rId9"/>
    <sheet name="Data Dictionary" sheetId="8" state="visible" r:id="rId10"/>
  </sheets>
  <definedNames>
    <definedName function="false" hidden="true" localSheetId="5" name="_xlnm._FilterDatabase" vbProcedure="false">Data!$A$1:$Q$1212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<sst xmlns="http://schemas.openxmlformats.org/spreadsheetml/2006/main" count="15962" uniqueCount="6364">
  <si>
    <t xml:space="preserve">NHS Hospital Directory KPI Dashboard</t>
  </si>
  <si>
    <t xml:space="preserve">Source: NHS ODS hospital directory (1,211 hospitals, England), cleaned via ETL. All figures are live formulas over the Data sheet.</t>
  </si>
  <si>
    <t xml:space="preserve">KPI</t>
  </si>
  <si>
    <t xml:space="preserve">Target (edit)</t>
  </si>
  <si>
    <t xml:space="preserve">Actual</t>
  </si>
  <si>
    <t xml:space="preserve">Status</t>
  </si>
  <si>
    <t xml:space="preserve">Total hospitals</t>
  </si>
  <si>
    <t xml:space="preserve">n/a</t>
  </si>
  <si>
    <t xml:space="preserve">NHS Sector hospitals</t>
  </si>
  <si>
    <t xml:space="preserve">Independent Sector hospitals</t>
  </si>
  <si>
    <t xml:space="preserve">Independent share of hospitals</t>
  </si>
  <si>
    <t xml:space="preserve">Parent organisations</t>
  </si>
  <si>
    <t xml:space="preserve">Records with phone number</t>
  </si>
  <si>
    <t xml:space="preserve">Records with email</t>
  </si>
  <si>
    <t xml:space="preserve">Records with website</t>
  </si>
  <si>
    <t xml:space="preserve">Records with postcode</t>
  </si>
  <si>
    <t xml:space="preserve">Records with coordinates</t>
  </si>
  <si>
    <t xml:space="preserve">Records with county identified</t>
  </si>
  <si>
    <t xml:space="preserve">Targets are illustrative assumptions set by the analyst (blue cells, editable), not official NHS standards.</t>
  </si>
  <si>
    <t xml:space="preserve">Sector</t>
  </si>
  <si>
    <t xml:space="preserve">Hospitals</t>
  </si>
  <si>
    <t xml:space="preserve">Share</t>
  </si>
  <si>
    <t xml:space="preserve">Independent Sector</t>
  </si>
  <si>
    <t xml:space="preserve">NHS Sector</t>
  </si>
  <si>
    <t xml:space="preserve">Hospital Provision by Region</t>
  </si>
  <si>
    <t xml:space="preserve">Red = independent share above the national share. 'Unknown' = county could not be determined from the source data.</t>
  </si>
  <si>
    <t xml:space="preserve">Region</t>
  </si>
  <si>
    <t xml:space="preserve">% Independent</t>
  </si>
  <si>
    <t xml:space="preserve">% of National Total</t>
  </si>
  <si>
    <t xml:space="preserve">South East</t>
  </si>
  <si>
    <t xml:space="preserve">South West</t>
  </si>
  <si>
    <t xml:space="preserve">North West</t>
  </si>
  <si>
    <t xml:space="preserve">East of England</t>
  </si>
  <si>
    <t xml:space="preserve">London</t>
  </si>
  <si>
    <t xml:space="preserve">West Midlands</t>
  </si>
  <si>
    <t xml:space="preserve">Yorkshire and The Humber</t>
  </si>
  <si>
    <t xml:space="preserve">East Midlands</t>
  </si>
  <si>
    <t xml:space="preserve">North East</t>
  </si>
  <si>
    <t xml:space="preserve">Unknown</t>
  </si>
  <si>
    <t xml:space="preserve">England total</t>
  </si>
  <si>
    <t xml:space="preserve">Top 15 Counties by Hospitals</t>
  </si>
  <si>
    <t xml:space="preserve">County</t>
  </si>
  <si>
    <t xml:space="preserve">% of National</t>
  </si>
  <si>
    <t xml:space="preserve">Cumulative %</t>
  </si>
  <si>
    <t xml:space="preserve">Greater London</t>
  </si>
  <si>
    <t xml:space="preserve">Kent</t>
  </si>
  <si>
    <t xml:space="preserve">Surrey</t>
  </si>
  <si>
    <t xml:space="preserve">Lancashire</t>
  </si>
  <si>
    <t xml:space="preserve">Devon</t>
  </si>
  <si>
    <t xml:space="preserve">Essex</t>
  </si>
  <si>
    <t xml:space="preserve">West Yorkshire</t>
  </si>
  <si>
    <t xml:space="preserve">Hampshire</t>
  </si>
  <si>
    <t xml:space="preserve">Merseyside</t>
  </si>
  <si>
    <t xml:space="preserve">Dorset</t>
  </si>
  <si>
    <t xml:space="preserve">North Yorkshire</t>
  </si>
  <si>
    <t xml:space="preserve">Cheshire</t>
  </si>
  <si>
    <t xml:space="preserve">Avon</t>
  </si>
  <si>
    <t xml:space="preserve">Hertfordshire</t>
  </si>
  <si>
    <t xml:space="preserve">Top 15 Parent Organisations (Provider Concentration)</t>
  </si>
  <si>
    <t xml:space="preserve">Parent Organisation</t>
  </si>
  <si>
    <t xml:space="preserve">Sector (majority)</t>
  </si>
  <si>
    <t xml:space="preserve">BMI Healthcare</t>
  </si>
  <si>
    <t xml:space="preserve">Spire Healthcare</t>
  </si>
  <si>
    <t xml:space="preserve">Ramsay Healthcare UK Operations Limited</t>
  </si>
  <si>
    <t xml:space="preserve">Nuffield Health</t>
  </si>
  <si>
    <t xml:space="preserve">Cygnet Health Care Limited</t>
  </si>
  <si>
    <t xml:space="preserve">Dorset Healthcare University NHS Foundation Trust</t>
  </si>
  <si>
    <t xml:space="preserve">Birmingham and Solihull Mental Health NHS Foundation Trust</t>
  </si>
  <si>
    <t xml:space="preserve">Priory Group Limited</t>
  </si>
  <si>
    <t xml:space="preserve">Somerset Partnership NHS Foundation Trust</t>
  </si>
  <si>
    <t xml:space="preserve">Royal Devon and Exeter NHS Foundation Trust</t>
  </si>
  <si>
    <t xml:space="preserve">Southern Health NHS Foundation Trust</t>
  </si>
  <si>
    <t xml:space="preserve">Norfolk and Suffolk NHS Foundation Trust</t>
  </si>
  <si>
    <t xml:space="preserve">County Durham and Darlington NHS Foundation Trust</t>
  </si>
  <si>
    <t xml:space="preserve">Humber Teaching NHS Foundation Trust</t>
  </si>
  <si>
    <t xml:space="preserve">Kent Community Health NHS Foundation Trust</t>
  </si>
  <si>
    <t xml:space="preserve">Sector (majority) is the most common sector among that parent's hospitals, computed when the workbook was built (static text).</t>
  </si>
  <si>
    <t xml:space="preserve">Data Completeness by Sector (% of hospitals with the field populated)</t>
  </si>
  <si>
    <t xml:space="preserve">Phone</t>
  </si>
  <si>
    <t xml:space="preserve">Email</t>
  </si>
  <si>
    <t xml:space="preserve">Website</t>
  </si>
  <si>
    <t xml:space="preserve">Postcode</t>
  </si>
  <si>
    <t xml:space="preserve">Coordinates</t>
  </si>
  <si>
    <t xml:space="preserve">Hospital ID</t>
  </si>
  <si>
    <t xml:space="preserve">ODS Code</t>
  </si>
  <si>
    <t xml:space="preserve">Hospital Name</t>
  </si>
  <si>
    <t xml:space="preserve">Subtype</t>
  </si>
  <si>
    <t xml:space="preserve">City</t>
  </si>
  <si>
    <t xml:space="preserve">Latitude</t>
  </si>
  <si>
    <t xml:space="preserve">Longitude</t>
  </si>
  <si>
    <t xml:space="preserve">PIMS Managed</t>
  </si>
  <si>
    <t xml:space="preserve">Possible Duplicate</t>
  </si>
  <si>
    <t xml:space="preserve">NDA07</t>
  </si>
  <si>
    <t xml:space="preserve">Walton Community Hospital - Virgin Care Services Ltd</t>
  </si>
  <si>
    <t xml:space="preserve">Hospital</t>
  </si>
  <si>
    <t xml:space="preserve">Virgin Care Services Ltd</t>
  </si>
  <si>
    <t xml:space="preserve">Walton-on-Thames</t>
  </si>
  <si>
    <t xml:space="preserve">KT12 3LD</t>
  </si>
  <si>
    <t xml:space="preserve">Yes</t>
  </si>
  <si>
    <t xml:space="preserve">01932 414205</t>
  </si>
  <si>
    <t xml:space="preserve">No</t>
  </si>
  <si>
    <t xml:space="preserve">NDA18</t>
  </si>
  <si>
    <t xml:space="preserve">Woking Community Hospital (Virgin Care)</t>
  </si>
  <si>
    <t xml:space="preserve">Woking</t>
  </si>
  <si>
    <t xml:space="preserve">GU22 7HS</t>
  </si>
  <si>
    <t xml:space="preserve">01483 715911</t>
  </si>
  <si>
    <t xml:space="preserve">NLT02</t>
  </si>
  <si>
    <t xml:space="preserve">North Somerset Community Hospital</t>
  </si>
  <si>
    <t xml:space="preserve">North Somerset Community Partnership Community Interest Company</t>
  </si>
  <si>
    <t xml:space="preserve">Clevedon</t>
  </si>
  <si>
    <t xml:space="preserve">BS21 6BS</t>
  </si>
  <si>
    <t xml:space="preserve">01275 872212</t>
  </si>
  <si>
    <t xml:space="preserve">http://www.nscphealth.co.uk</t>
  </si>
  <si>
    <t xml:space="preserve">NMP01</t>
  </si>
  <si>
    <t xml:space="preserve">Bridgewater Hospital</t>
  </si>
  <si>
    <t xml:space="preserve">Bridgewater Hospital (Manchester) Ltd</t>
  </si>
  <si>
    <t xml:space="preserve">Manchester</t>
  </si>
  <si>
    <t xml:space="preserve">Greater Manchester</t>
  </si>
  <si>
    <t xml:space="preserve">M15 5AT</t>
  </si>
  <si>
    <t xml:space="preserve">0161 2270000</t>
  </si>
  <si>
    <t xml:space="preserve">https://www.bridgewaterhospital.com</t>
  </si>
  <si>
    <t xml:space="preserve">NMV01</t>
  </si>
  <si>
    <t xml:space="preserve">Kneesworth House</t>
  </si>
  <si>
    <t xml:space="preserve">Partnerships In Care Ltd</t>
  </si>
  <si>
    <t xml:space="preserve">Royston</t>
  </si>
  <si>
    <t xml:space="preserve">SG8 5JP</t>
  </si>
  <si>
    <t xml:space="preserve">01763 255 700</t>
  </si>
  <si>
    <t xml:space="preserve">reception_kneesworthhouse@partnershipsincare.co.uk</t>
  </si>
  <si>
    <t xml:space="preserve">https://www.partnershipsincare.co.uk</t>
  </si>
  <si>
    <t xml:space="preserve">NMV02</t>
  </si>
  <si>
    <t xml:space="preserve">Stockton Hall Hospital</t>
  </si>
  <si>
    <t xml:space="preserve">York</t>
  </si>
  <si>
    <t xml:space="preserve">YO32 9UN</t>
  </si>
  <si>
    <t xml:space="preserve">01904 400 500</t>
  </si>
  <si>
    <t xml:space="preserve">info@priorygroup.com</t>
  </si>
  <si>
    <t xml:space="preserve">https://www.priorygroup.com/stockton-hall</t>
  </si>
  <si>
    <t xml:space="preserve">NQ106</t>
  </si>
  <si>
    <t xml:space="preserve">Fryatt Hospital, Harwich</t>
  </si>
  <si>
    <t xml:space="preserve">Anglian Community Enterprise Community Interest Company (ACE CIC)</t>
  </si>
  <si>
    <t xml:space="preserve">Harwich</t>
  </si>
  <si>
    <t xml:space="preserve">CO12 4EX</t>
  </si>
  <si>
    <t xml:space="preserve">01255 201200</t>
  </si>
  <si>
    <t xml:space="preserve">NQ108</t>
  </si>
  <si>
    <t xml:space="preserve">Clacton Hospital</t>
  </si>
  <si>
    <t xml:space="preserve">Clacton</t>
  </si>
  <si>
    <t xml:space="preserve">CO15 1LH</t>
  </si>
  <si>
    <t xml:space="preserve">01255 201717</t>
  </si>
  <si>
    <t xml:space="preserve">https://www.esneft.nhs.uk/your-visit/our-wards/clacton-hospital</t>
  </si>
  <si>
    <t xml:space="preserve">NQ901</t>
  </si>
  <si>
    <t xml:space="preserve">Lakeside Hospital</t>
  </si>
  <si>
    <t xml:space="preserve">Brookdale Healthcare Ltd (T/A Brookdale Care)</t>
  </si>
  <si>
    <t xml:space="preserve">Bedford</t>
  </si>
  <si>
    <t xml:space="preserve">Bedfordshire</t>
  </si>
  <si>
    <t xml:space="preserve">MK44 3AS</t>
  </si>
  <si>
    <t xml:space="preserve">NQM01</t>
  </si>
  <si>
    <t xml:space="preserve">Orthopaedics and Spine Specialist Hospital</t>
  </si>
  <si>
    <t xml:space="preserve">Peterborough</t>
  </si>
  <si>
    <t xml:space="preserve">Cambridgeshire</t>
  </si>
  <si>
    <t xml:space="preserve">PE3 8YA</t>
  </si>
  <si>
    <t xml:space="preserve">01733 333156</t>
  </si>
  <si>
    <t xml:space="preserve">info@orthospine.co.uk</t>
  </si>
  <si>
    <t xml:space="preserve">NR510</t>
  </si>
  <si>
    <t xml:space="preserve">Lee Mill Hospital</t>
  </si>
  <si>
    <t xml:space="preserve">Livewell Southwest</t>
  </si>
  <si>
    <t xml:space="preserve">Plymouth</t>
  </si>
  <si>
    <t xml:space="preserve">PL21 9HL</t>
  </si>
  <si>
    <t xml:space="preserve">01752 314800</t>
  </si>
  <si>
    <t xml:space="preserve">NR527</t>
  </si>
  <si>
    <t xml:space="preserve">Mount Gould Hospital</t>
  </si>
  <si>
    <t xml:space="preserve">PL4 7QD</t>
  </si>
  <si>
    <t xml:space="preserve">01752 268011</t>
  </si>
  <si>
    <t xml:space="preserve">https://www.livewellsouthwest.co.uk</t>
  </si>
  <si>
    <t xml:space="preserve">NT202</t>
  </si>
  <si>
    <t xml:space="preserve">Nuffield Health, Bournemouth Hospital</t>
  </si>
  <si>
    <t xml:space="preserve">Bournemouth</t>
  </si>
  <si>
    <t xml:space="preserve">BH1 1RW</t>
  </si>
  <si>
    <t xml:space="preserve">0800 015 5020</t>
  </si>
  <si>
    <t xml:space="preserve">nuffieldhealth.ereferrals@nhs.net</t>
  </si>
  <si>
    <t xml:space="preserve">http://www.nuffieldhealth.com/individuals/centres/b/bournemouth</t>
  </si>
  <si>
    <t xml:space="preserve">NT204</t>
  </si>
  <si>
    <t xml:space="preserve">Nuffield Health, Brentwood Hospital</t>
  </si>
  <si>
    <t xml:space="preserve">Brentwood</t>
  </si>
  <si>
    <t xml:space="preserve">CM15 8EH</t>
  </si>
  <si>
    <t xml:space="preserve">http://www.nuffieldhealth.com/brentwoodhospital</t>
  </si>
  <si>
    <t xml:space="preserve">NT205</t>
  </si>
  <si>
    <t xml:space="preserve">Nuffield Health, Brighton Hospital</t>
  </si>
  <si>
    <t xml:space="preserve">Brighton</t>
  </si>
  <si>
    <t xml:space="preserve">East Sussex</t>
  </si>
  <si>
    <t xml:space="preserve">BN2 6DX</t>
  </si>
  <si>
    <t xml:space="preserve">http://www.nuffieldhealth.com/brightonhospital</t>
  </si>
  <si>
    <t xml:space="preserve">NT206</t>
  </si>
  <si>
    <t xml:space="preserve">Nuffield Health, Bristol Hospital (Chesterfield)</t>
  </si>
  <si>
    <t xml:space="preserve">Bristol</t>
  </si>
  <si>
    <t xml:space="preserve">BS8 1BN</t>
  </si>
  <si>
    <t xml:space="preserve">http://www.nuffieldhealth.com/hospitals/bristol</t>
  </si>
  <si>
    <t xml:space="preserve">NT209</t>
  </si>
  <si>
    <t xml:space="preserve">Nuffield Health, Cambridge Hospital</t>
  </si>
  <si>
    <t xml:space="preserve">Cambridge</t>
  </si>
  <si>
    <t xml:space="preserve">CB2 8AF</t>
  </si>
  <si>
    <t xml:space="preserve">http://www.nuffieldhealth.com/cambridgehospital</t>
  </si>
  <si>
    <t xml:space="preserve">NT210</t>
  </si>
  <si>
    <t xml:space="preserve">Nuffield Health, The Grosvenor Hospital, Chester</t>
  </si>
  <si>
    <t xml:space="preserve">Chester</t>
  </si>
  <si>
    <t xml:space="preserve">CH4 7QP</t>
  </si>
  <si>
    <t xml:space="preserve">http://www.nuffieldhealth.com/thegrosvenorhospitalchester</t>
  </si>
  <si>
    <t xml:space="preserve">NT211</t>
  </si>
  <si>
    <t xml:space="preserve">Nuffield Health, Cheltenham Hospital</t>
  </si>
  <si>
    <t xml:space="preserve">Cheltenham</t>
  </si>
  <si>
    <t xml:space="preserve">Gloucestershire</t>
  </si>
  <si>
    <t xml:space="preserve">GL51 6SY</t>
  </si>
  <si>
    <t xml:space="preserve">http://www.nuffieldhealth.com/cheltenhamhospital</t>
  </si>
  <si>
    <t xml:space="preserve">NT212</t>
  </si>
  <si>
    <t xml:space="preserve">Nuffield Health, Chichester Hospital</t>
  </si>
  <si>
    <t xml:space="preserve">Chichester</t>
  </si>
  <si>
    <t xml:space="preserve">West Sussex</t>
  </si>
  <si>
    <t xml:space="preserve">PO19 6WB</t>
  </si>
  <si>
    <t xml:space="preserve">http://www.nuffieldhealth.com/chichesterhospital</t>
  </si>
  <si>
    <t xml:space="preserve">NT213</t>
  </si>
  <si>
    <t xml:space="preserve">Nuffield Health, Derby Hospital</t>
  </si>
  <si>
    <t xml:space="preserve">Derby</t>
  </si>
  <si>
    <t xml:space="preserve">Derbyshire</t>
  </si>
  <si>
    <t xml:space="preserve">DE23 4SN</t>
  </si>
  <si>
    <t xml:space="preserve">http://www.nuffieldhealth.com/derbyhospital</t>
  </si>
  <si>
    <t xml:space="preserve">NT214</t>
  </si>
  <si>
    <t xml:space="preserve">Nuffield Health, Wessex Hospital</t>
  </si>
  <si>
    <t xml:space="preserve">Eastleigh</t>
  </si>
  <si>
    <t xml:space="preserve">SO53 2DW</t>
  </si>
  <si>
    <t xml:space="preserve">http://www.nuffieldhealth.com/hospitals/wessex</t>
  </si>
  <si>
    <t xml:space="preserve">NT215</t>
  </si>
  <si>
    <t xml:space="preserve">Nuffield Health, Exeter Hospital</t>
  </si>
  <si>
    <t xml:space="preserve">Exeter</t>
  </si>
  <si>
    <t xml:space="preserve">EX2 4UG</t>
  </si>
  <si>
    <t xml:space="preserve">http://www.nuffieldhealth.com/exeterhospital</t>
  </si>
  <si>
    <t xml:space="preserve">NT216</t>
  </si>
  <si>
    <t xml:space="preserve">Nuffield Health, Guildford Hospital</t>
  </si>
  <si>
    <t xml:space="preserve">Guildford</t>
  </si>
  <si>
    <t xml:space="preserve">GU2 7RF</t>
  </si>
  <si>
    <t xml:space="preserve">01483 555800</t>
  </si>
  <si>
    <t xml:space="preserve">http://www.nuffieldhealth.com/guildfordhospital</t>
  </si>
  <si>
    <t xml:space="preserve">NT218</t>
  </si>
  <si>
    <t xml:space="preserve">Nuffield Health, Haywards Heath Hospital</t>
  </si>
  <si>
    <t xml:space="preserve">Haywards Heath</t>
  </si>
  <si>
    <t xml:space="preserve">RH16 1UD</t>
  </si>
  <si>
    <t xml:space="preserve">http://www.nuffieldhealth.com/haywards-heathhospital</t>
  </si>
  <si>
    <t xml:space="preserve">NT219</t>
  </si>
  <si>
    <t xml:space="preserve">Nuffield Health, Hereford Hospital</t>
  </si>
  <si>
    <t xml:space="preserve">Hereford</t>
  </si>
  <si>
    <t xml:space="preserve">Herefordshire</t>
  </si>
  <si>
    <t xml:space="preserve">HR1 1DF</t>
  </si>
  <si>
    <t xml:space="preserve">01432 355131</t>
  </si>
  <si>
    <t xml:space="preserve">http://www.nuffieldhealth.com/herefordhospital</t>
  </si>
  <si>
    <t xml:space="preserve">NT222</t>
  </si>
  <si>
    <t xml:space="preserve">Nuffield Health, Ipswich Hospital</t>
  </si>
  <si>
    <t xml:space="preserve">Ipswich</t>
  </si>
  <si>
    <t xml:space="preserve">Suffolk</t>
  </si>
  <si>
    <t xml:space="preserve">IP4 5SW</t>
  </si>
  <si>
    <t xml:space="preserve">http://www.nuffieldhealth.com/ipswichhospital</t>
  </si>
  <si>
    <t xml:space="preserve">NT224</t>
  </si>
  <si>
    <t xml:space="preserve">Nuffield Health, Warwickshire Hospital</t>
  </si>
  <si>
    <t xml:space="preserve">Leamington Spa</t>
  </si>
  <si>
    <t xml:space="preserve">Warwickshire</t>
  </si>
  <si>
    <t xml:space="preserve">CV32 6RW</t>
  </si>
  <si>
    <t xml:space="preserve">http://www.nuffieldhealth.com/warwickshirehospital</t>
  </si>
  <si>
    <t xml:space="preserve">NT225</t>
  </si>
  <si>
    <t xml:space="preserve">Nuffield Health, Leeds Hospital</t>
  </si>
  <si>
    <t xml:space="preserve">Leeds</t>
  </si>
  <si>
    <t xml:space="preserve">LS1 3EB</t>
  </si>
  <si>
    <t xml:space="preserve">0113 388 2000</t>
  </si>
  <si>
    <t xml:space="preserve">leedsnuffield@nhs.net</t>
  </si>
  <si>
    <t xml:space="preserve">https://www.nuffieldhealth.com/hospitals/leeds</t>
  </si>
  <si>
    <t xml:space="preserve">NT226</t>
  </si>
  <si>
    <t xml:space="preserve">Nuffield Health, Leicester Hospital</t>
  </si>
  <si>
    <t xml:space="preserve">Leicester</t>
  </si>
  <si>
    <t xml:space="preserve">Leicestershire</t>
  </si>
  <si>
    <t xml:space="preserve">LE5 1HY</t>
  </si>
  <si>
    <t xml:space="preserve">http://www.nuffieldhealth.com/leicesterhospital</t>
  </si>
  <si>
    <t xml:space="preserve">NT229</t>
  </si>
  <si>
    <t xml:space="preserve">Nuffield Health, Newcastle-upon-Tyne Hospital</t>
  </si>
  <si>
    <t xml:space="preserve">Newcastle Upon Tyne</t>
  </si>
  <si>
    <t xml:space="preserve">Tyne and Wear</t>
  </si>
  <si>
    <t xml:space="preserve">NE2 1JP</t>
  </si>
  <si>
    <t xml:space="preserve">http://www.nuffieldhealth.com/newcastle-upon-tynehospital</t>
  </si>
  <si>
    <t xml:space="preserve">NT230</t>
  </si>
  <si>
    <t xml:space="preserve">Nuffield Health, North Staffordshire Hospital</t>
  </si>
  <si>
    <t xml:space="preserve">Newcastle Under Lyme</t>
  </si>
  <si>
    <t xml:space="preserve">Staffordshire</t>
  </si>
  <si>
    <t xml:space="preserve">ST5 4DB</t>
  </si>
  <si>
    <t xml:space="preserve">01782 382551</t>
  </si>
  <si>
    <t xml:space="preserve">customerservice.enq@nuffieldhealth.com</t>
  </si>
  <si>
    <t xml:space="preserve">http://www.nuffieldhealth.com/northstaffordshirehospital</t>
  </si>
  <si>
    <t xml:space="preserve">NT233</t>
  </si>
  <si>
    <t xml:space="preserve">Nuffield Health, Plymouth Hospital</t>
  </si>
  <si>
    <t xml:space="preserve">PL6 8BG</t>
  </si>
  <si>
    <t xml:space="preserve">http://www.nuffieldhealth.com/plymouthhospital</t>
  </si>
  <si>
    <t xml:space="preserve">NT235</t>
  </si>
  <si>
    <t xml:space="preserve">Nuffield Health, Shrewsbury Hospital</t>
  </si>
  <si>
    <t xml:space="preserve">Shrewsbury</t>
  </si>
  <si>
    <t xml:space="preserve">Shropshire</t>
  </si>
  <si>
    <t xml:space="preserve">SY3 9DP</t>
  </si>
  <si>
    <t xml:space="preserve">http://www.nuffieldhealth.com/shrewsburyhospital</t>
  </si>
  <si>
    <t xml:space="preserve">NT237</t>
  </si>
  <si>
    <t xml:space="preserve">Nuffield Health, Tees Hospital</t>
  </si>
  <si>
    <t xml:space="preserve">Stockton-on-Tees</t>
  </si>
  <si>
    <t xml:space="preserve">Cleveland</t>
  </si>
  <si>
    <t xml:space="preserve">TS20 1PX</t>
  </si>
  <si>
    <t xml:space="preserve">tees.enquiries2@nuffieldhealth.com</t>
  </si>
  <si>
    <t xml:space="preserve">http://www.nuffieldhealth.com/teeshospital</t>
  </si>
  <si>
    <t xml:space="preserve">NT238</t>
  </si>
  <si>
    <t xml:space="preserve">Nuffield Health, Taunton Hospital</t>
  </si>
  <si>
    <t xml:space="preserve">Taunton</t>
  </si>
  <si>
    <t xml:space="preserve">Somerset</t>
  </si>
  <si>
    <t xml:space="preserve">TA2 6AN</t>
  </si>
  <si>
    <t xml:space="preserve">http://www.nuffieldhealth.com/tauntonhospital</t>
  </si>
  <si>
    <t xml:space="preserve">NT239</t>
  </si>
  <si>
    <t xml:space="preserve">Nuffield Health, Tunbridge Wells Hospital</t>
  </si>
  <si>
    <t xml:space="preserve">Tunbridge Wells</t>
  </si>
  <si>
    <t xml:space="preserve">TN2 4UL</t>
  </si>
  <si>
    <t xml:space="preserve">http://www.nuffieldhealth.com/tunbridgewellshospital</t>
  </si>
  <si>
    <t xml:space="preserve">NT241</t>
  </si>
  <si>
    <t xml:space="preserve">Nuffield Health, Woking Hospital</t>
  </si>
  <si>
    <t xml:space="preserve">GU21 4BY</t>
  </si>
  <si>
    <t xml:space="preserve">http://www.nuffieldhealth.com/wokinghospital</t>
  </si>
  <si>
    <t xml:space="preserve">NT242</t>
  </si>
  <si>
    <t xml:space="preserve">Nuffield Health, Wolverhampton Hospital</t>
  </si>
  <si>
    <t xml:space="preserve">Wolverhampton</t>
  </si>
  <si>
    <t xml:space="preserve">WV6 8LE</t>
  </si>
  <si>
    <t xml:space="preserve">http://www.nuffieldhealth.com/hospitals/wolverhampton</t>
  </si>
  <si>
    <t xml:space="preserve">NT244</t>
  </si>
  <si>
    <t xml:space="preserve">Nuffield Health, The Manor Hospital, Oxford</t>
  </si>
  <si>
    <t xml:space="preserve">Oxford</t>
  </si>
  <si>
    <t xml:space="preserve">Oxfordshire</t>
  </si>
  <si>
    <t xml:space="preserve">OX3 7RP</t>
  </si>
  <si>
    <t xml:space="preserve">http://www.nuffieldhealth.com/themanorhospitaloxford</t>
  </si>
  <si>
    <t xml:space="preserve">NT245</t>
  </si>
  <si>
    <t xml:space="preserve">Nuffield Health, York Hospital</t>
  </si>
  <si>
    <t xml:space="preserve">YO31 8TA</t>
  </si>
  <si>
    <t xml:space="preserve">http://www.nuffieldhealth.com/yorkhospital</t>
  </si>
  <si>
    <t xml:space="preserve">NT301</t>
  </si>
  <si>
    <t xml:space="preserve">Spire South Bank Hospital</t>
  </si>
  <si>
    <t xml:space="preserve">Worcester</t>
  </si>
  <si>
    <t xml:space="preserve">Worcestershire</t>
  </si>
  <si>
    <t xml:space="preserve">WR5 3YB</t>
  </si>
  <si>
    <t xml:space="preserve">01905 350 003</t>
  </si>
  <si>
    <t xml:space="preserve">cservice-sb@spirehealthcare.com</t>
  </si>
  <si>
    <t xml:space="preserve">https://www.spirehealthcare.com/spire-south-bank-hospital</t>
  </si>
  <si>
    <t xml:space="preserve">NT302</t>
  </si>
  <si>
    <t xml:space="preserve">Spire Bristol Hospital</t>
  </si>
  <si>
    <t xml:space="preserve">BS6 6UT</t>
  </si>
  <si>
    <t xml:space="preserve">0117 980 4000</t>
  </si>
  <si>
    <t xml:space="preserve">info@spirebristol.com</t>
  </si>
  <si>
    <t xml:space="preserve">https://www.spirehealthcare.com/spire-bristol-hospital</t>
  </si>
  <si>
    <t xml:space="preserve">NT304</t>
  </si>
  <si>
    <t xml:space="preserve">Spire Southampton Hospital</t>
  </si>
  <si>
    <t xml:space="preserve">Southampton</t>
  </si>
  <si>
    <t xml:space="preserve">SO16 6UY</t>
  </si>
  <si>
    <t xml:space="preserve">023 8077 5544</t>
  </si>
  <si>
    <t xml:space="preserve">spire.southampton@nhs.net</t>
  </si>
  <si>
    <t xml:space="preserve">https://www.spirehealthcare.com/spire-southampton-hospital</t>
  </si>
  <si>
    <t xml:space="preserve">NT305</t>
  </si>
  <si>
    <t xml:space="preserve">Spire Portsmouth Hospital</t>
  </si>
  <si>
    <t xml:space="preserve">Havant</t>
  </si>
  <si>
    <t xml:space="preserve">PO9 5NP</t>
  </si>
  <si>
    <t xml:space="preserve">02392 456 172</t>
  </si>
  <si>
    <t xml:space="preserve">info@spireportsmouth.com</t>
  </si>
  <si>
    <t xml:space="preserve">https://www.spirehealthcare.com/spire-portsmouth-hospital</t>
  </si>
  <si>
    <t xml:space="preserve">NT308</t>
  </si>
  <si>
    <t xml:space="preserve">Spire Gatwick Park Hospital</t>
  </si>
  <si>
    <t xml:space="preserve">Horley</t>
  </si>
  <si>
    <t xml:space="preserve">RH6 0BB</t>
  </si>
  <si>
    <t xml:space="preserve">01293 785511</t>
  </si>
  <si>
    <t xml:space="preserve">spire.nhsteamgpk@nhs.net</t>
  </si>
  <si>
    <t xml:space="preserve">https://www.spirehealthcare.com/spire-gatwick-park-hospital</t>
  </si>
  <si>
    <t xml:space="preserve">NT309</t>
  </si>
  <si>
    <t xml:space="preserve">Spire Sussex Hospital</t>
  </si>
  <si>
    <t xml:space="preserve">St. Leonards-on-Sea</t>
  </si>
  <si>
    <t xml:space="preserve">TN37 7RE</t>
  </si>
  <si>
    <t xml:space="preserve">01424 757400</t>
  </si>
  <si>
    <t xml:space="preserve">info@spiresussex.com</t>
  </si>
  <si>
    <t xml:space="preserve">https://www.spirehealthcare.com/spire-sussex-hospital</t>
  </si>
  <si>
    <t xml:space="preserve">NT310</t>
  </si>
  <si>
    <t xml:space="preserve">Spire Tunbridge Wells Hospital</t>
  </si>
  <si>
    <t xml:space="preserve">TN3 0RD</t>
  </si>
  <si>
    <t xml:space="preserve">01892 740 047</t>
  </si>
  <si>
    <t xml:space="preserve">info@spiretunbridgewells.com</t>
  </si>
  <si>
    <t xml:space="preserve">https://www.spirehealthcare.com/spire-tunbridge-wells-hospital</t>
  </si>
  <si>
    <t xml:space="preserve">NT312</t>
  </si>
  <si>
    <t xml:space="preserve">Spire Alexandra Hospital</t>
  </si>
  <si>
    <t xml:space="preserve">Chatham</t>
  </si>
  <si>
    <t xml:space="preserve">ME5 9PG</t>
  </si>
  <si>
    <t xml:space="preserve">01634 687166</t>
  </si>
  <si>
    <t xml:space="preserve">cservice-al@spirehealthcare.com</t>
  </si>
  <si>
    <t xml:space="preserve">https://www.spirehealthcare.com/spire-alexandra-hospital</t>
  </si>
  <si>
    <t xml:space="preserve">NT313</t>
  </si>
  <si>
    <t xml:space="preserve">Spire Wellesley Hospital</t>
  </si>
  <si>
    <t xml:space="preserve">Southend-on-Sea</t>
  </si>
  <si>
    <t xml:space="preserve">SS2 4XH</t>
  </si>
  <si>
    <t xml:space="preserve">01702 462944</t>
  </si>
  <si>
    <t xml:space="preserve">spire.wellesley@nhs.net</t>
  </si>
  <si>
    <t xml:space="preserve">https://www.spirehealthcare.com/spire-wellesley-hospital</t>
  </si>
  <si>
    <t xml:space="preserve">NT314</t>
  </si>
  <si>
    <t xml:space="preserve">Spire London East Hospital</t>
  </si>
  <si>
    <t xml:space="preserve">Ilford</t>
  </si>
  <si>
    <t xml:space="preserve">IG4 5PZ</t>
  </si>
  <si>
    <t xml:space="preserve">020 8709 7878</t>
  </si>
  <si>
    <t xml:space="preserve">spire.londoneast@nhs.net</t>
  </si>
  <si>
    <t xml:space="preserve">https://www.spirehealthcare.com/spire-london-east-hospital</t>
  </si>
  <si>
    <t xml:space="preserve">NT315</t>
  </si>
  <si>
    <t xml:space="preserve">Spire Bushey Hospital</t>
  </si>
  <si>
    <t xml:space="preserve">Bushey</t>
  </si>
  <si>
    <t xml:space="preserve">WD23 1RD</t>
  </si>
  <si>
    <t xml:space="preserve">020 8901 5572</t>
  </si>
  <si>
    <t xml:space="preserve">spire.bushey@nhs.net</t>
  </si>
  <si>
    <t xml:space="preserve">https://www.spirehealthcare.com/spire-bushey-hospital</t>
  </si>
  <si>
    <t xml:space="preserve">NT316</t>
  </si>
  <si>
    <t xml:space="preserve">Spire Harpenden Hospital</t>
  </si>
  <si>
    <t xml:space="preserve">Harpenden</t>
  </si>
  <si>
    <t xml:space="preserve">AL5 4BP</t>
  </si>
  <si>
    <t xml:space="preserve">01582 763191</t>
  </si>
  <si>
    <t xml:space="preserve">spire.harpenden@nhs.net</t>
  </si>
  <si>
    <t xml:space="preserve">https://www.spirehealthcare.com/spire-harpenden-hospital</t>
  </si>
  <si>
    <t xml:space="preserve">NT317</t>
  </si>
  <si>
    <t xml:space="preserve">Spire Cambridge Lea Hospital</t>
  </si>
  <si>
    <t xml:space="preserve">CB24 9EL</t>
  </si>
  <si>
    <t xml:space="preserve">01223 266 900</t>
  </si>
  <si>
    <t xml:space="preserve">info@spirecambridge.com</t>
  </si>
  <si>
    <t xml:space="preserve">https://www.spirehealthcare.com/spire-cambridge-lea-hospital</t>
  </si>
  <si>
    <t xml:space="preserve">NT318</t>
  </si>
  <si>
    <t xml:space="preserve">Spire Norwich Hospital</t>
  </si>
  <si>
    <t xml:space="preserve">Norwich</t>
  </si>
  <si>
    <t xml:space="preserve">Norfolk</t>
  </si>
  <si>
    <t xml:space="preserve">NR4 7TD</t>
  </si>
  <si>
    <t xml:space="preserve">01603 456 181</t>
  </si>
  <si>
    <t xml:space="preserve">spire.norwich@nhs.net</t>
  </si>
  <si>
    <t xml:space="preserve">https://www.spirehealthcare.com/spire-norwich-hospital</t>
  </si>
  <si>
    <t xml:space="preserve">NT319</t>
  </si>
  <si>
    <t xml:space="preserve">Spire Hartswood Hospital</t>
  </si>
  <si>
    <t xml:space="preserve">CM13 3LE</t>
  </si>
  <si>
    <t xml:space="preserve">01277 232 525</t>
  </si>
  <si>
    <t xml:space="preserve">spire.hartswood@nhs.net</t>
  </si>
  <si>
    <t xml:space="preserve">https://www.spirehealthcare.com/spire-hartswood-hospital</t>
  </si>
  <si>
    <t xml:space="preserve">NT320</t>
  </si>
  <si>
    <t xml:space="preserve">Spire Parkway Hospital</t>
  </si>
  <si>
    <t xml:space="preserve">Solihull</t>
  </si>
  <si>
    <t xml:space="preserve">B91 2PP</t>
  </si>
  <si>
    <t xml:space="preserve">0121 704 1451</t>
  </si>
  <si>
    <t xml:space="preserve">spire.parkway@nhs.net</t>
  </si>
  <si>
    <t xml:space="preserve">https://www.spirehealthcare.com/spire-parkway-hospital</t>
  </si>
  <si>
    <t xml:space="preserve">NT321</t>
  </si>
  <si>
    <t xml:space="preserve">Spire Little Aston Hospital</t>
  </si>
  <si>
    <t xml:space="preserve">Sutton Coldfield</t>
  </si>
  <si>
    <t xml:space="preserve">B74 3UP</t>
  </si>
  <si>
    <t xml:space="preserve">0121 353 2444</t>
  </si>
  <si>
    <t xml:space="preserve">info@spirelittleaston.com</t>
  </si>
  <si>
    <t xml:space="preserve">https://www.spirehealthcare.com/spire-little-aston-hospital</t>
  </si>
  <si>
    <t xml:space="preserve">NT322</t>
  </si>
  <si>
    <t xml:space="preserve">Spire Leicester Hospital</t>
  </si>
  <si>
    <t xml:space="preserve">LE2 2FF</t>
  </si>
  <si>
    <t xml:space="preserve">0116 265 3685</t>
  </si>
  <si>
    <t xml:space="preserve">info@spireleicester.com</t>
  </si>
  <si>
    <t xml:space="preserve">https://www.spirehealthcare.com/spire-leicester-hospital</t>
  </si>
  <si>
    <t xml:space="preserve">NT324</t>
  </si>
  <si>
    <t xml:space="preserve">Spire Cheshire Hospital</t>
  </si>
  <si>
    <t xml:space="preserve">Warrington</t>
  </si>
  <si>
    <t xml:space="preserve">WA4 4LU</t>
  </si>
  <si>
    <t xml:space="preserve">01925 265 000</t>
  </si>
  <si>
    <t xml:space="preserve">spire.cheshire@nhs.net</t>
  </si>
  <si>
    <t xml:space="preserve">https://www.spirehealthcare.com/spire-cheshire-hospital</t>
  </si>
  <si>
    <t xml:space="preserve">NT325</t>
  </si>
  <si>
    <t xml:space="preserve">Spire Murrayfield Hospital</t>
  </si>
  <si>
    <t xml:space="preserve">Wirral</t>
  </si>
  <si>
    <t xml:space="preserve">CH61 1AU</t>
  </si>
  <si>
    <t xml:space="preserve">0151 648 7000</t>
  </si>
  <si>
    <t xml:space="preserve">spire.murrayfield.nhsoffice@nhs.net</t>
  </si>
  <si>
    <t xml:space="preserve">https://www.spirehealthcare.com/spire-murrayfield-hospital-wirral</t>
  </si>
  <si>
    <t xml:space="preserve">NT327</t>
  </si>
  <si>
    <t xml:space="preserve">Spire Manchester Hospital</t>
  </si>
  <si>
    <t xml:space="preserve">M20 2AF</t>
  </si>
  <si>
    <t xml:space="preserve">0161 447 6677</t>
  </si>
  <si>
    <t xml:space="preserve">info@spiremanchester.com</t>
  </si>
  <si>
    <t xml:space="preserve">https://www.spirehealthcare.com/spire-manchester-hospital</t>
  </si>
  <si>
    <t xml:space="preserve">NT332</t>
  </si>
  <si>
    <t xml:space="preserve">Spire Leeds Hospital</t>
  </si>
  <si>
    <t xml:space="preserve">LS8 1NT</t>
  </si>
  <si>
    <t xml:space="preserve">0113 269 3939</t>
  </si>
  <si>
    <t xml:space="preserve">spire.leeds@nhs.net</t>
  </si>
  <si>
    <t xml:space="preserve">https://www.spirehealthcare.com/spire-leeds-hospital</t>
  </si>
  <si>
    <t xml:space="preserve">NT333</t>
  </si>
  <si>
    <t xml:space="preserve">Spire Washington Hospital</t>
  </si>
  <si>
    <t xml:space="preserve">Washington</t>
  </si>
  <si>
    <t xml:space="preserve">NE38 9JZ</t>
  </si>
  <si>
    <t xml:space="preserve">0191 418 8669</t>
  </si>
  <si>
    <t xml:space="preserve">spire.washington@nhs.net</t>
  </si>
  <si>
    <t xml:space="preserve">https://www.spirehealthcare.com/spire-washington-hospital</t>
  </si>
  <si>
    <t xml:space="preserve">NT337</t>
  </si>
  <si>
    <t xml:space="preserve">Spire Liverpool Hospital</t>
  </si>
  <si>
    <t xml:space="preserve">Liverpool</t>
  </si>
  <si>
    <t xml:space="preserve">L18 1HQ</t>
  </si>
  <si>
    <t xml:space="preserve">0151 733 7123</t>
  </si>
  <si>
    <t xml:space="preserve">spire.liverpool@nhs.net</t>
  </si>
  <si>
    <t xml:space="preserve">https://www.spirehealthcare.com/spire-liverpool-hospital</t>
  </si>
  <si>
    <t xml:space="preserve">NT339</t>
  </si>
  <si>
    <t xml:space="preserve">Spire Regency Hospital</t>
  </si>
  <si>
    <t xml:space="preserve">Macclesfield</t>
  </si>
  <si>
    <t xml:space="preserve">SK11 8DW</t>
  </si>
  <si>
    <t xml:space="preserve">01625 501150</t>
  </si>
  <si>
    <t xml:space="preserve">spire.regencyhospnhs@nhs.net</t>
  </si>
  <si>
    <t xml:space="preserve">https://www.spirehealthcare.com/spire-regency-hospital-macclesfield</t>
  </si>
  <si>
    <t xml:space="preserve">NT343</t>
  </si>
  <si>
    <t xml:space="preserve">Spire Thames Valley Hospital</t>
  </si>
  <si>
    <t xml:space="preserve">Slough</t>
  </si>
  <si>
    <t xml:space="preserve">Berkshire</t>
  </si>
  <si>
    <t xml:space="preserve">SL3 6NH</t>
  </si>
  <si>
    <t xml:space="preserve">01753 662 241</t>
  </si>
  <si>
    <t xml:space="preserve">cservice-tv@spirehealthcare.com</t>
  </si>
  <si>
    <t xml:space="preserve">https://www.spirehealthcare.com/spire-thames-valley-hospital</t>
  </si>
  <si>
    <t xml:space="preserve">NT344</t>
  </si>
  <si>
    <t xml:space="preserve">Spire Dunedin Hospital</t>
  </si>
  <si>
    <t xml:space="preserve">Reading</t>
  </si>
  <si>
    <t xml:space="preserve">RG1 6NS</t>
  </si>
  <si>
    <t xml:space="preserve">0118 9587676</t>
  </si>
  <si>
    <t xml:space="preserve">spire.dunedin@nhs.net</t>
  </si>
  <si>
    <t xml:space="preserve">https://www.spirehealthcare.com/spire-dunedin-hospital</t>
  </si>
  <si>
    <t xml:space="preserve">NT345</t>
  </si>
  <si>
    <t xml:space="preserve">Spire Clare Park Hospital</t>
  </si>
  <si>
    <t xml:space="preserve">Farnham</t>
  </si>
  <si>
    <t xml:space="preserve">GU10 5XX</t>
  </si>
  <si>
    <t xml:space="preserve">01252 850216</t>
  </si>
  <si>
    <t xml:space="preserve">info@spireclarepark.com</t>
  </si>
  <si>
    <t xml:space="preserve">https://www.spirehealthcare.com/spire-clare-park-hospital</t>
  </si>
  <si>
    <t xml:space="preserve">NT347</t>
  </si>
  <si>
    <t xml:space="preserve">Spire Fylde Coast Hospital</t>
  </si>
  <si>
    <t xml:space="preserve">Blackpool</t>
  </si>
  <si>
    <t xml:space="preserve">FY3 8BP</t>
  </si>
  <si>
    <t xml:space="preserve">01253 394 188</t>
  </si>
  <si>
    <t xml:space="preserve">info@spirefyldecoast.com</t>
  </si>
  <si>
    <t xml:space="preserve">https://www.spirehealthcare.com/spire-fylde-coast-hospital</t>
  </si>
  <si>
    <t xml:space="preserve">NT348</t>
  </si>
  <si>
    <t xml:space="preserve">Spire Elland Hospital</t>
  </si>
  <si>
    <t xml:space="preserve">Elland</t>
  </si>
  <si>
    <t xml:space="preserve">HX5 9EB</t>
  </si>
  <si>
    <t xml:space="preserve">01422 324000</t>
  </si>
  <si>
    <t xml:space="preserve">spire.elland@nhs.net</t>
  </si>
  <si>
    <t xml:space="preserve">https://www.spirehealthcare.com/spire-elland-hospital</t>
  </si>
  <si>
    <t xml:space="preserve">NT350</t>
  </si>
  <si>
    <t xml:space="preserve">Spire Methley Park Hospital</t>
  </si>
  <si>
    <t xml:space="preserve">LS26 9HG</t>
  </si>
  <si>
    <t xml:space="preserve">01977 518518</t>
  </si>
  <si>
    <t xml:space="preserve">spire.methleypark@nhs.net</t>
  </si>
  <si>
    <t xml:space="preserve">https://www.spirehealthcare.com/spire-methley-park-hospital</t>
  </si>
  <si>
    <t xml:space="preserve">NT351</t>
  </si>
  <si>
    <t xml:space="preserve">Spire Hull and East Riding Hospital</t>
  </si>
  <si>
    <t xml:space="preserve">Hull</t>
  </si>
  <si>
    <t xml:space="preserve">East Riding of Yorkshire</t>
  </si>
  <si>
    <t xml:space="preserve">HU10 7AZ</t>
  </si>
  <si>
    <t xml:space="preserve">01482 659471</t>
  </si>
  <si>
    <t xml:space="preserve">spire.hull@nhs.net</t>
  </si>
  <si>
    <t xml:space="preserve">https://www.spirehealthcare.com/spire-hull-and-east-riding-hospital</t>
  </si>
  <si>
    <t xml:space="preserve">NT364</t>
  </si>
  <si>
    <t xml:space="preserve">The Montefiore Hospital</t>
  </si>
  <si>
    <t xml:space="preserve">Hove</t>
  </si>
  <si>
    <t xml:space="preserve">BN3 1RD</t>
  </si>
  <si>
    <t xml:space="preserve">01273 828 120</t>
  </si>
  <si>
    <t xml:space="preserve">montefioreinfo@spirehealthcare.com</t>
  </si>
  <si>
    <t xml:space="preserve">http://themontefiorehospital.co.uk</t>
  </si>
  <si>
    <t xml:space="preserve">NT401</t>
  </si>
  <si>
    <t xml:space="preserve">BMI The Alexandra Hospital</t>
  </si>
  <si>
    <t xml:space="preserve">Cheadle</t>
  </si>
  <si>
    <t xml:space="preserve">SK8 2PX</t>
  </si>
  <si>
    <t xml:space="preserve">0161 428 3656</t>
  </si>
  <si>
    <t xml:space="preserve">info@bmihealthcare.co.uk</t>
  </si>
  <si>
    <t xml:space="preserve">https://www.bmihealthcare.co.uk/hospitals/bmi-the-alexandra-hospital</t>
  </si>
  <si>
    <t xml:space="preserve">NT402</t>
  </si>
  <si>
    <t xml:space="preserve">BMI Bath Clinic</t>
  </si>
  <si>
    <t xml:space="preserve">Bath</t>
  </si>
  <si>
    <t xml:space="preserve">BA2 7BR</t>
  </si>
  <si>
    <t xml:space="preserve">01225 835555</t>
  </si>
  <si>
    <t xml:space="preserve">bath@bmihealthcare.co.uk</t>
  </si>
  <si>
    <t xml:space="preserve">https://www.bmihealthcare.co.uk/hospitals/bmi-bath-clinic</t>
  </si>
  <si>
    <t xml:space="preserve">NT403</t>
  </si>
  <si>
    <t xml:space="preserve">BMI The Beardwood Hospital</t>
  </si>
  <si>
    <t xml:space="preserve">Blackburn</t>
  </si>
  <si>
    <t xml:space="preserve">BB2 7AE</t>
  </si>
  <si>
    <t xml:space="preserve">01254 507607</t>
  </si>
  <si>
    <t xml:space="preserve">beardwood@bmihealthcare.co.uk</t>
  </si>
  <si>
    <t xml:space="preserve">https://www.bmihealthcare.co.uk/hospitals/bmi-the-beardwood-hospital</t>
  </si>
  <si>
    <t xml:space="preserve">NT404</t>
  </si>
  <si>
    <t xml:space="preserve">BMI The Beaumont Hospital</t>
  </si>
  <si>
    <t xml:space="preserve">Bolton</t>
  </si>
  <si>
    <t xml:space="preserve">BL6 4LA</t>
  </si>
  <si>
    <t xml:space="preserve">01204 404404</t>
  </si>
  <si>
    <t xml:space="preserve">beaumont@bmihealthcare.co.uk</t>
  </si>
  <si>
    <t xml:space="preserve">https://www.bmihealthcare.co.uk/hospitals/bmi-the-beaumont-hospital</t>
  </si>
  <si>
    <t xml:space="preserve">NT405</t>
  </si>
  <si>
    <t xml:space="preserve">BMI Bishops Wood Hospital</t>
  </si>
  <si>
    <t xml:space="preserve">Northwood</t>
  </si>
  <si>
    <t xml:space="preserve">Middlesex</t>
  </si>
  <si>
    <t xml:space="preserve">HA6 2JW</t>
  </si>
  <si>
    <t xml:space="preserve">01923 835814</t>
  </si>
  <si>
    <t xml:space="preserve">https://www.bmihealthcare.co.uk/hospitals/bmi-bishops-wood-hospital</t>
  </si>
  <si>
    <t xml:space="preserve">NT406</t>
  </si>
  <si>
    <t xml:space="preserve">BMI The Blackheath Hospital</t>
  </si>
  <si>
    <t xml:space="preserve">SE3 9UD</t>
  </si>
  <si>
    <t xml:space="preserve">020 8108 3076</t>
  </si>
  <si>
    <t xml:space="preserve">https://www.bmihealthcare.co.uk/hospitals/bmi-the-blackheath-hospital</t>
  </si>
  <si>
    <t xml:space="preserve">NT408</t>
  </si>
  <si>
    <t xml:space="preserve">BMI The Chaucer Hospital</t>
  </si>
  <si>
    <t xml:space="preserve">Canterbury</t>
  </si>
  <si>
    <t xml:space="preserve">CT4 7AR</t>
  </si>
  <si>
    <t xml:space="preserve">01227 825100</t>
  </si>
  <si>
    <t xml:space="preserve">chaucer@bmihealthcare.co.uk</t>
  </si>
  <si>
    <t xml:space="preserve">https://www.bmihealthcare.co.uk/hospitals/bmi-the-chaucer-hospital</t>
  </si>
  <si>
    <t xml:space="preserve">NT409</t>
  </si>
  <si>
    <t xml:space="preserve">BMI Chelsfield Park Hospital</t>
  </si>
  <si>
    <t xml:space="preserve">Orpington</t>
  </si>
  <si>
    <t xml:space="preserve">BR6 7RG</t>
  </si>
  <si>
    <t xml:space="preserve">01689 877855</t>
  </si>
  <si>
    <t xml:space="preserve">https://www.bmihealthcare.co.uk/hospitals/bmi-chelsfield-park-hospital</t>
  </si>
  <si>
    <t xml:space="preserve">NT410</t>
  </si>
  <si>
    <t xml:space="preserve">BMI The Chiltern Hospital</t>
  </si>
  <si>
    <t xml:space="preserve">Great Missenden</t>
  </si>
  <si>
    <t xml:space="preserve">Buckinghamshire</t>
  </si>
  <si>
    <t xml:space="preserve">HP16 0EN</t>
  </si>
  <si>
    <t xml:space="preserve">01494 890890</t>
  </si>
  <si>
    <t xml:space="preserve">chiltern@bmihealthcare.co.uk</t>
  </si>
  <si>
    <t xml:space="preserve">https://www.bmihealthcare.co.uk/hospitals/bmi-the-chiltern-hospital</t>
  </si>
  <si>
    <t xml:space="preserve">NT411</t>
  </si>
  <si>
    <t xml:space="preserve">BMI The Clementine Churchill Hospital</t>
  </si>
  <si>
    <t xml:space="preserve">Harrow</t>
  </si>
  <si>
    <t xml:space="preserve">HA1 3RX</t>
  </si>
  <si>
    <t xml:space="preserve">020 8872 3872</t>
  </si>
  <si>
    <t xml:space="preserve">cch@bmihealthcare.co.uk</t>
  </si>
  <si>
    <t xml:space="preserve">https://www.bmihealthcare.co.uk/hospitals/bmi-the-clementine-churchill-hospital</t>
  </si>
  <si>
    <t xml:space="preserve">NT412</t>
  </si>
  <si>
    <t xml:space="preserve">BMI The Droitwich Spa Hospital</t>
  </si>
  <si>
    <t xml:space="preserve">Droitwich</t>
  </si>
  <si>
    <t xml:space="preserve">WR9 8DN</t>
  </si>
  <si>
    <t xml:space="preserve">01905 793333</t>
  </si>
  <si>
    <t xml:space="preserve">droitwich@bmihealthcare.co.uk</t>
  </si>
  <si>
    <t xml:space="preserve">https://www.bmihealthcare.co.uk/hospitals/bmi-the-droitwich-spa-hospital</t>
  </si>
  <si>
    <t xml:space="preserve">NT416</t>
  </si>
  <si>
    <t xml:space="preserve">BMI Hendon Hospital</t>
  </si>
  <si>
    <t xml:space="preserve">NW4 1RP</t>
  </si>
  <si>
    <t xml:space="preserve">020 8457 4500</t>
  </si>
  <si>
    <t xml:space="preserve">garden@bmihealthcare.co.uk</t>
  </si>
  <si>
    <t xml:space="preserve">https://www.bmihealthcare.co.uk/hospitals/bmi-hendon-hospital</t>
  </si>
  <si>
    <t xml:space="preserve">NT417</t>
  </si>
  <si>
    <t xml:space="preserve">BMI Goring Hall Hospital</t>
  </si>
  <si>
    <t xml:space="preserve">Worthing</t>
  </si>
  <si>
    <t xml:space="preserve">BN12 5AT</t>
  </si>
  <si>
    <t xml:space="preserve">01903 506699</t>
  </si>
  <si>
    <t xml:space="preserve">https://www.bmihealthcare.co.uk/hospitals/bmi-goring-hall-hospital</t>
  </si>
  <si>
    <t xml:space="preserve">NT419</t>
  </si>
  <si>
    <t xml:space="preserve">BMI The Harbour Hospital</t>
  </si>
  <si>
    <t xml:space="preserve">Poole</t>
  </si>
  <si>
    <t xml:space="preserve">BH15 2BH</t>
  </si>
  <si>
    <t xml:space="preserve">01202 244200</t>
  </si>
  <si>
    <t xml:space="preserve">https://www.bmihealthcare.co.uk/hospitals/bmi-the-harbour-hospital</t>
  </si>
  <si>
    <t xml:space="preserve">NT420</t>
  </si>
  <si>
    <t xml:space="preserve">BMI The Highfield Hospital</t>
  </si>
  <si>
    <t xml:space="preserve">Rochdale</t>
  </si>
  <si>
    <t xml:space="preserve">OL11 4LZ</t>
  </si>
  <si>
    <t xml:space="preserve">01706 655121</t>
  </si>
  <si>
    <t xml:space="preserve">highfield@bmihealthcare.co.uk</t>
  </si>
  <si>
    <t xml:space="preserve">https://www.bmihealthcare.co.uk/hospitals/bmi-the-highfield-hospital</t>
  </si>
  <si>
    <t xml:space="preserve">NT421</t>
  </si>
  <si>
    <t xml:space="preserve">BMI The Kings Oak Hospital</t>
  </si>
  <si>
    <t xml:space="preserve">Enfield</t>
  </si>
  <si>
    <t xml:space="preserve">EN2 8SD</t>
  </si>
  <si>
    <t xml:space="preserve">020 8370 9500</t>
  </si>
  <si>
    <t xml:space="preserve">kingsoak@bmihealthcare.co.uk</t>
  </si>
  <si>
    <t xml:space="preserve">https://www.bmihealthcare.co.uk/hospitals/bmi-the-kings-oak-hospital</t>
  </si>
  <si>
    <t xml:space="preserve">NT422</t>
  </si>
  <si>
    <t xml:space="preserve">BMI The London Independent Hospital</t>
  </si>
  <si>
    <t xml:space="preserve">E1 4NL</t>
  </si>
  <si>
    <t xml:space="preserve">020 7780 2400</t>
  </si>
  <si>
    <t xml:space="preserve">lih@bmihealthcare.co.uk</t>
  </si>
  <si>
    <t xml:space="preserve">https://www.bmihealthcare.co.uk/hospitals/bmi-the-london-independent-hospital</t>
  </si>
  <si>
    <t xml:space="preserve">NT423</t>
  </si>
  <si>
    <t xml:space="preserve">BMI The Manor Hospital</t>
  </si>
  <si>
    <t xml:space="preserve">Biddenham</t>
  </si>
  <si>
    <t xml:space="preserve">MK40 4AW</t>
  </si>
  <si>
    <t xml:space="preserve">01234 364252</t>
  </si>
  <si>
    <t xml:space="preserve">manor@bmihealthcare.co.uk</t>
  </si>
  <si>
    <t xml:space="preserve">https://www.bmihealthcare.co.uk/hospitals/bmi-the-manor-hospital</t>
  </si>
  <si>
    <t xml:space="preserve">NT424</t>
  </si>
  <si>
    <t xml:space="preserve">BMI The Meriden Hospital</t>
  </si>
  <si>
    <t xml:space="preserve">Coventry</t>
  </si>
  <si>
    <t xml:space="preserve">CV2 2LQ</t>
  </si>
  <si>
    <t xml:space="preserve">024 7664 7000</t>
  </si>
  <si>
    <t xml:space="preserve">meriden@bmihealthcare.co.uk</t>
  </si>
  <si>
    <t xml:space="preserve">https://www.bmihealthcare.co.uk/hospitals/bmi-the-meriden-hospital</t>
  </si>
  <si>
    <t xml:space="preserve">NT427</t>
  </si>
  <si>
    <t xml:space="preserve">BMI The Park Hospital</t>
  </si>
  <si>
    <t xml:space="preserve">Arnold</t>
  </si>
  <si>
    <t xml:space="preserve">Nottinghamshire</t>
  </si>
  <si>
    <t xml:space="preserve">NG5 8RX</t>
  </si>
  <si>
    <t xml:space="preserve">0115 9662000</t>
  </si>
  <si>
    <t xml:space="preserve">https://www.bmihealthcare.co.uk/hospitals/bmi-the-park-hospital</t>
  </si>
  <si>
    <t xml:space="preserve">NT428</t>
  </si>
  <si>
    <t xml:space="preserve">BMI The Princess Margaret Hospital</t>
  </si>
  <si>
    <t xml:space="preserve">Windsor</t>
  </si>
  <si>
    <t xml:space="preserve">SL4 3SJ</t>
  </si>
  <si>
    <t xml:space="preserve">01753 743434</t>
  </si>
  <si>
    <t xml:space="preserve">https://www.bmihealthcare.co.uk/hospitals/bmi-the-princess-margaret-hospital</t>
  </si>
  <si>
    <t xml:space="preserve">NT429</t>
  </si>
  <si>
    <t xml:space="preserve">BMI The Priory Hospital</t>
  </si>
  <si>
    <t xml:space="preserve">Birmingham</t>
  </si>
  <si>
    <t xml:space="preserve">B5 7UG</t>
  </si>
  <si>
    <t xml:space="preserve">0121 4402323</t>
  </si>
  <si>
    <t xml:space="preserve">priory@bmihealthcare.co.uk</t>
  </si>
  <si>
    <t xml:space="preserve">https://www.bmihealthcare.co.uk/hospitals/bmi-the-priory-hospital</t>
  </si>
  <si>
    <t xml:space="preserve">NT430</t>
  </si>
  <si>
    <t xml:space="preserve">BMI The Ridgeway Hospital</t>
  </si>
  <si>
    <t xml:space="preserve">Swindon</t>
  </si>
  <si>
    <t xml:space="preserve">Wiltshire</t>
  </si>
  <si>
    <t xml:space="preserve">SN4 9DD</t>
  </si>
  <si>
    <t xml:space="preserve">01793 814848</t>
  </si>
  <si>
    <t xml:space="preserve">ridgeway@bmihealthcare.co.uk</t>
  </si>
  <si>
    <t xml:space="preserve">https://www.bmihealthcare.co.uk/hospitals/bmi-the-ridgeway-hospital</t>
  </si>
  <si>
    <t xml:space="preserve">NT431</t>
  </si>
  <si>
    <t xml:space="preserve">BMI The Runnymede Hospital</t>
  </si>
  <si>
    <t xml:space="preserve">Chertsey</t>
  </si>
  <si>
    <t xml:space="preserve">KT16 0RQ</t>
  </si>
  <si>
    <t xml:space="preserve">01932 877800</t>
  </si>
  <si>
    <t xml:space="preserve">runnymede@bmihealthcare.co.uk</t>
  </si>
  <si>
    <t xml:space="preserve">https://www.bmihealthcare.co.uk/hospitals/bmi-the-runnymede-hospital</t>
  </si>
  <si>
    <t xml:space="preserve">NT433</t>
  </si>
  <si>
    <t xml:space="preserve">BMI Sarum Road Hospital</t>
  </si>
  <si>
    <t xml:space="preserve">Winchester</t>
  </si>
  <si>
    <t xml:space="preserve">SO22 5HA</t>
  </si>
  <si>
    <t xml:space="preserve">01962 844555</t>
  </si>
  <si>
    <t xml:space="preserve">sarum@bmihealthcare.co.uk</t>
  </si>
  <si>
    <t xml:space="preserve">https://www.bmihealthcare.co.uk/hospitals/bmi-sarum-road-hospital</t>
  </si>
  <si>
    <t xml:space="preserve">NT434</t>
  </si>
  <si>
    <t xml:space="preserve">BMI The Saxon Clinic</t>
  </si>
  <si>
    <t xml:space="preserve">Milton Keynes</t>
  </si>
  <si>
    <t xml:space="preserve">MK6 5LR</t>
  </si>
  <si>
    <t xml:space="preserve">01908 665533</t>
  </si>
  <si>
    <t xml:space="preserve">saxon@bmihealthcare.co.uk</t>
  </si>
  <si>
    <t xml:space="preserve">https://www.bmihealthcare.co.uk/hospitals/bmi-the-saxon-clinic</t>
  </si>
  <si>
    <t xml:space="preserve">NT435</t>
  </si>
  <si>
    <t xml:space="preserve">BMI The Shelburne Hospital</t>
  </si>
  <si>
    <t xml:space="preserve">High Wycombe</t>
  </si>
  <si>
    <t xml:space="preserve">HP11 2TR</t>
  </si>
  <si>
    <t xml:space="preserve">01494 888700</t>
  </si>
  <si>
    <t xml:space="preserve">shelburne@bmihealthcare.co.uk</t>
  </si>
  <si>
    <t xml:space="preserve">https://www.bmihealthcare.co.uk/hospitals/bmi-the-shelburne-hospital</t>
  </si>
  <si>
    <t xml:space="preserve">NT436</t>
  </si>
  <si>
    <t xml:space="preserve">BMI Shirley Oaks Hospital</t>
  </si>
  <si>
    <t xml:space="preserve">Croydon</t>
  </si>
  <si>
    <t xml:space="preserve">CR9 8AB</t>
  </si>
  <si>
    <t xml:space="preserve">0208 655 5500</t>
  </si>
  <si>
    <t xml:space="preserve">https://www.bmihealthcare.co.uk/hospitals/bmi-shirley-oaks-hospital</t>
  </si>
  <si>
    <t xml:space="preserve">NT437</t>
  </si>
  <si>
    <t xml:space="preserve">BMI The Sloane Hospital</t>
  </si>
  <si>
    <t xml:space="preserve">Beckenham</t>
  </si>
  <si>
    <t xml:space="preserve">BR3 5HS</t>
  </si>
  <si>
    <t xml:space="preserve">020 8466 4000</t>
  </si>
  <si>
    <t xml:space="preserve">https://www.bmihealthcare.co.uk/hospitals/bmi-the-sloane-hospital</t>
  </si>
  <si>
    <t xml:space="preserve">NT440</t>
  </si>
  <si>
    <t xml:space="preserve">BMI Thornbury Hospital</t>
  </si>
  <si>
    <t xml:space="preserve">Sheffield</t>
  </si>
  <si>
    <t xml:space="preserve">South Yorkshire</t>
  </si>
  <si>
    <t xml:space="preserve">S10 3BR</t>
  </si>
  <si>
    <t xml:space="preserve">0114 2661133</t>
  </si>
  <si>
    <t xml:space="preserve">https://www.bmihealthcare.co.uk/hospitals/bmi-thornbury-hospital</t>
  </si>
  <si>
    <t xml:space="preserve">NT441</t>
  </si>
  <si>
    <t xml:space="preserve">BMI Three Shires Hospital</t>
  </si>
  <si>
    <t xml:space="preserve">Northampton</t>
  </si>
  <si>
    <t xml:space="preserve">Northamptonshire</t>
  </si>
  <si>
    <t xml:space="preserve">NN1 5DR</t>
  </si>
  <si>
    <t xml:space="preserve">01604 801043</t>
  </si>
  <si>
    <t xml:space="preserve">https://www.bmihealthcare.co.uk/hospitals/bmi-three-shires-hospital</t>
  </si>
  <si>
    <t xml:space="preserve">NT443</t>
  </si>
  <si>
    <t xml:space="preserve">BMI The Winterbourne Hospital</t>
  </si>
  <si>
    <t xml:space="preserve">Dorchester</t>
  </si>
  <si>
    <t xml:space="preserve">DT1 2DR</t>
  </si>
  <si>
    <t xml:space="preserve">01305 263252</t>
  </si>
  <si>
    <t xml:space="preserve">winterbourne@bmihealthcare.co.uk</t>
  </si>
  <si>
    <t xml:space="preserve">https://www.bmihealthcare.co.uk/hospitals/bmi-the-winterbourne-hospital</t>
  </si>
  <si>
    <t xml:space="preserve">NT445</t>
  </si>
  <si>
    <t xml:space="preserve">BMI The Edgbaston Hospital</t>
  </si>
  <si>
    <t xml:space="preserve">B15 2QQ</t>
  </si>
  <si>
    <t xml:space="preserve">0121 456 2000</t>
  </si>
  <si>
    <t xml:space="preserve">birminghamenquiries@bmihealthcare.co.uk</t>
  </si>
  <si>
    <t xml:space="preserve">https://www.bmihealthcare.co.uk/hospitals/bmi-the-edgbaston-hospital</t>
  </si>
  <si>
    <t xml:space="preserve">NT446</t>
  </si>
  <si>
    <t xml:space="preserve">BMI Bury St Edmunds Hospital</t>
  </si>
  <si>
    <t xml:space="preserve">Bury St. Edmunds</t>
  </si>
  <si>
    <t xml:space="preserve">IP33 2AA</t>
  </si>
  <si>
    <t xml:space="preserve">01284 701 371</t>
  </si>
  <si>
    <t xml:space="preserve">burypatientservices@bmihealthcare.co.uk</t>
  </si>
  <si>
    <t xml:space="preserve">https://www.bmihealthcare.co.uk/hospitals/bmi-st-edmunds-hospital</t>
  </si>
  <si>
    <t xml:space="preserve">NT447</t>
  </si>
  <si>
    <t xml:space="preserve">BMI The Duchy Hospital</t>
  </si>
  <si>
    <t xml:space="preserve">Harrogate</t>
  </si>
  <si>
    <t xml:space="preserve">HG2 0HF</t>
  </si>
  <si>
    <t xml:space="preserve">01423 567 136</t>
  </si>
  <si>
    <t xml:space="preserve">https://www.bmihealthcare.co.uk/hospitals/bmi-the-duchy-hospital</t>
  </si>
  <si>
    <t xml:space="preserve">NT448</t>
  </si>
  <si>
    <t xml:space="preserve">BMI The Huddersfield Hospital</t>
  </si>
  <si>
    <t xml:space="preserve">Huddersfield</t>
  </si>
  <si>
    <t xml:space="preserve">HD2 2BL</t>
  </si>
  <si>
    <t xml:space="preserve">01484 533 131</t>
  </si>
  <si>
    <t xml:space="preserve">https://www.bmihealthcare.co.uk/hospitals/bmi-the-huddersfield-hospital</t>
  </si>
  <si>
    <t xml:space="preserve">NT449</t>
  </si>
  <si>
    <t xml:space="preserve">BMI The Lancaster Hospital</t>
  </si>
  <si>
    <t xml:space="preserve">Lancaster</t>
  </si>
  <si>
    <t xml:space="preserve">LA1 3RH</t>
  </si>
  <si>
    <t xml:space="preserve">01524 62345</t>
  </si>
  <si>
    <t xml:space="preserve">https://www.bmihealthcare.co.uk/hospitals/bmi-the-lancaster-hospital</t>
  </si>
  <si>
    <t xml:space="preserve">NT450</t>
  </si>
  <si>
    <t xml:space="preserve">BMI The Lincoln Hospital</t>
  </si>
  <si>
    <t xml:space="preserve">Lincoln</t>
  </si>
  <si>
    <t xml:space="preserve">Lincolnshire</t>
  </si>
  <si>
    <t xml:space="preserve">LN2 1QU</t>
  </si>
  <si>
    <t xml:space="preserve">01522 578 000</t>
  </si>
  <si>
    <t xml:space="preserve">https://www.bmihealthcare.co.uk/hospitals/bmi-the-lincoln-hospital</t>
  </si>
  <si>
    <t xml:space="preserve">NT451</t>
  </si>
  <si>
    <t xml:space="preserve">BMI The Cavell Hospital</t>
  </si>
  <si>
    <t xml:space="preserve">EN2 7PR</t>
  </si>
  <si>
    <t xml:space="preserve">020 8366 2122</t>
  </si>
  <si>
    <t xml:space="preserve">https://www.bmihealthcare.co.uk/hospitals/bmi-the-cavell-hospital</t>
  </si>
  <si>
    <t xml:space="preserve">NT455</t>
  </si>
  <si>
    <t xml:space="preserve">BMI Mount Alvernia Hospital</t>
  </si>
  <si>
    <t xml:space="preserve">GU1 3LX</t>
  </si>
  <si>
    <t xml:space="preserve">01483 570122</t>
  </si>
  <si>
    <t xml:space="preserve">https://www.bmihealthcare.co.uk/hospitals/bmi-mount-alvernia-hospital</t>
  </si>
  <si>
    <t xml:space="preserve">NT490</t>
  </si>
  <si>
    <t xml:space="preserve">BMI Southend Private Hospital</t>
  </si>
  <si>
    <t xml:space="preserve">Westcliff-on-Sea</t>
  </si>
  <si>
    <t xml:space="preserve">SS0 9AG</t>
  </si>
  <si>
    <t xml:space="preserve">01702 608908</t>
  </si>
  <si>
    <t xml:space="preserve">reception.southend@bmihealthcare.co.uk</t>
  </si>
  <si>
    <t xml:space="preserve">https://www.bmihealthcare.co.uk/hospitals/bmi-southend-private-hospital</t>
  </si>
  <si>
    <t xml:space="preserve">NT497</t>
  </si>
  <si>
    <t xml:space="preserve">BMI Gisburne Park Hospital</t>
  </si>
  <si>
    <t xml:space="preserve">Clitheroe</t>
  </si>
  <si>
    <t xml:space="preserve">BB7 4HX</t>
  </si>
  <si>
    <t xml:space="preserve">01200 445693</t>
  </si>
  <si>
    <t xml:space="preserve">https://www.bmihealthcare.co.uk/hospitals/bmi-gisburne-park-hospital</t>
  </si>
  <si>
    <t xml:space="preserve">NT708</t>
  </si>
  <si>
    <t xml:space="preserve">Royal Hospital Haslar</t>
  </si>
  <si>
    <t xml:space="preserve">Netcare Healthcare UK</t>
  </si>
  <si>
    <t xml:space="preserve">Gosport</t>
  </si>
  <si>
    <t xml:space="preserve">PO12 2AA</t>
  </si>
  <si>
    <t xml:space="preserve">NTE02</t>
  </si>
  <si>
    <t xml:space="preserve">St Hugh's Hospital</t>
  </si>
  <si>
    <t xml:space="preserve">Claremont &amp; St Hugh's Hospitals (Hmt)</t>
  </si>
  <si>
    <t xml:space="preserve">Grimsby</t>
  </si>
  <si>
    <t xml:space="preserve">South Humberside</t>
  </si>
  <si>
    <t xml:space="preserve">DN32 9RP</t>
  </si>
  <si>
    <t xml:space="preserve">01472 251100</t>
  </si>
  <si>
    <t xml:space="preserve">admin@sthughshospital.co.uk</t>
  </si>
  <si>
    <t xml:space="preserve">http://www.sthughshospital.co.uk</t>
  </si>
  <si>
    <t xml:space="preserve">NTN03</t>
  </si>
  <si>
    <t xml:space="preserve">Priory Hospital Hemel Hempstead</t>
  </si>
  <si>
    <t xml:space="preserve">Hemel Hempstead</t>
  </si>
  <si>
    <t xml:space="preserve">HP3 0BN</t>
  </si>
  <si>
    <t xml:space="preserve">01442 255 371</t>
  </si>
  <si>
    <t xml:space="preserve">hemelhempstead@priorygroup.com</t>
  </si>
  <si>
    <t xml:space="preserve">http://www.priorygroup.com/hemelhempstead</t>
  </si>
  <si>
    <t xml:space="preserve">NTN04</t>
  </si>
  <si>
    <t xml:space="preserve">Heathfield</t>
  </si>
  <si>
    <t xml:space="preserve">TN21 8UN</t>
  </si>
  <si>
    <t xml:space="preserve">01435 864 545</t>
  </si>
  <si>
    <t xml:space="preserve">heathfield@priorygroup.com</t>
  </si>
  <si>
    <t xml:space="preserve">http://www.priorygroup.com/heathfield</t>
  </si>
  <si>
    <t xml:space="preserve">NTN05</t>
  </si>
  <si>
    <t xml:space="preserve">Priory Hospital Ticehurst</t>
  </si>
  <si>
    <t xml:space="preserve">Wadhurst</t>
  </si>
  <si>
    <t xml:space="preserve">TN5 7HU</t>
  </si>
  <si>
    <t xml:space="preserve">01580 200 391</t>
  </si>
  <si>
    <t xml:space="preserve">ticehurst@priorygroup.com</t>
  </si>
  <si>
    <t xml:space="preserve">http://www.priorygroup.com/ticehurst</t>
  </si>
  <si>
    <t xml:space="preserve">NTN07</t>
  </si>
  <si>
    <t xml:space="preserve">Priory Hospital Chelmsford</t>
  </si>
  <si>
    <t xml:space="preserve">Chelmsford</t>
  </si>
  <si>
    <t xml:space="preserve">CM1 7SJ</t>
  </si>
  <si>
    <t xml:space="preserve">01245 345 345</t>
  </si>
  <si>
    <t xml:space="preserve">chelmsford@priorygroup.com</t>
  </si>
  <si>
    <t xml:space="preserve">https://www.priorygroup.com/locations/priory-hospital-chelmsford</t>
  </si>
  <si>
    <t xml:space="preserve">NTN08</t>
  </si>
  <si>
    <t xml:space="preserve">Woodbourne Priory Hospital</t>
  </si>
  <si>
    <t xml:space="preserve">B17 8BY</t>
  </si>
  <si>
    <t xml:space="preserve">0121 434 4343</t>
  </si>
  <si>
    <t xml:space="preserve">woodbourne@priorygroup.com</t>
  </si>
  <si>
    <t xml:space="preserve">https://www.priorygroup.com/locations/priory-hospital-woodbourne-birmingham</t>
  </si>
  <si>
    <t xml:space="preserve">NTN09</t>
  </si>
  <si>
    <t xml:space="preserve">Priory Hospital Hayes Grove</t>
  </si>
  <si>
    <t xml:space="preserve">Bromley</t>
  </si>
  <si>
    <t xml:space="preserve">BR2 7AS</t>
  </si>
  <si>
    <t xml:space="preserve">020 8462 7722</t>
  </si>
  <si>
    <t xml:space="preserve">hayesgrove@priorygroup.com</t>
  </si>
  <si>
    <t xml:space="preserve">https://www.priorygroup.com/locations/priory-hospital-hayes-grove</t>
  </si>
  <si>
    <t xml:space="preserve">NTN10</t>
  </si>
  <si>
    <t xml:space="preserve">Priory Hospital Roehampton</t>
  </si>
  <si>
    <t xml:space="preserve">SW15 5JJ</t>
  </si>
  <si>
    <t xml:space="preserve">020 8876 8261</t>
  </si>
  <si>
    <t xml:space="preserve">roehampton@priorygroup.com</t>
  </si>
  <si>
    <t xml:space="preserve">https://www.priorygroup.com/locations/priory-hospital-roehampton-london</t>
  </si>
  <si>
    <t xml:space="preserve">NTN11</t>
  </si>
  <si>
    <t xml:space="preserve">Priory Hospital Woking</t>
  </si>
  <si>
    <t xml:space="preserve">GU21 2QF</t>
  </si>
  <si>
    <t xml:space="preserve">01483 489 211</t>
  </si>
  <si>
    <t xml:space="preserve">woking@priorygroup.com</t>
  </si>
  <si>
    <t xml:space="preserve">https://www.priorygroup.com/locations/priory-hospital-woking</t>
  </si>
  <si>
    <t xml:space="preserve">NTN12</t>
  </si>
  <si>
    <t xml:space="preserve">Priory Hospital Southampton</t>
  </si>
  <si>
    <t xml:space="preserve">SO40 4WU</t>
  </si>
  <si>
    <t xml:space="preserve">023 8084 0044</t>
  </si>
  <si>
    <t xml:space="preserve">southampton@priorygroup.com</t>
  </si>
  <si>
    <t xml:space="preserve">https://www.priorygroup.com/locations/priory-hospital-southampton</t>
  </si>
  <si>
    <t xml:space="preserve">NTN13</t>
  </si>
  <si>
    <t xml:space="preserve">Priory Hospital Altrincham</t>
  </si>
  <si>
    <t xml:space="preserve">Altrincham</t>
  </si>
  <si>
    <t xml:space="preserve">WA15 0NU</t>
  </si>
  <si>
    <t xml:space="preserve">0161 904 0050</t>
  </si>
  <si>
    <t xml:space="preserve">altrincham@priorygroup.com</t>
  </si>
  <si>
    <t xml:space="preserve">https://www.priorygroup.com/locations/priory-hospital-altrincham</t>
  </si>
  <si>
    <t xml:space="preserve">NTN14</t>
  </si>
  <si>
    <t xml:space="preserve">Priory Hospital Preston</t>
  </si>
  <si>
    <t xml:space="preserve">Preston</t>
  </si>
  <si>
    <t xml:space="preserve">PR4 0HB</t>
  </si>
  <si>
    <t xml:space="preserve">01772 691 122</t>
  </si>
  <si>
    <t xml:space="preserve">preston@priorygroup.com</t>
  </si>
  <si>
    <t xml:space="preserve">http://www.priorygroup.com/preston</t>
  </si>
  <si>
    <t xml:space="preserve">NTN15</t>
  </si>
  <si>
    <t xml:space="preserve">Priory Hospital North London</t>
  </si>
  <si>
    <t xml:space="preserve">N14 6RA</t>
  </si>
  <si>
    <t xml:space="preserve">020 8882 8191</t>
  </si>
  <si>
    <t xml:space="preserve">northlondon@priorygroup.com</t>
  </si>
  <si>
    <t xml:space="preserve">https://www.priorygroup.com/locations/priory-hospital-north-london/north-london</t>
  </si>
  <si>
    <t xml:space="preserve">NTN23</t>
  </si>
  <si>
    <t xml:space="preserve">Priory Hospital Cheadle Royal</t>
  </si>
  <si>
    <t xml:space="preserve">SK8 3DG</t>
  </si>
  <si>
    <t xml:space="preserve">0161 428 9511</t>
  </si>
  <si>
    <t xml:space="preserve">cheadleroyal@priorygroup.com</t>
  </si>
  <si>
    <t xml:space="preserve">http://www.priorygroup.com/cheadleroyal</t>
  </si>
  <si>
    <t xml:space="preserve">NTN24</t>
  </si>
  <si>
    <t xml:space="preserve">Priory Hospital Middleton St George</t>
  </si>
  <si>
    <t xml:space="preserve">Darlington</t>
  </si>
  <si>
    <t xml:space="preserve">County Durham</t>
  </si>
  <si>
    <t xml:space="preserve">DL2 1TS</t>
  </si>
  <si>
    <t xml:space="preserve">01325 333192</t>
  </si>
  <si>
    <t xml:space="preserve">middletonstgeorge@priorygroup.com</t>
  </si>
  <si>
    <t xml:space="preserve">http://www.priorygroup.com/middletonstgeorge</t>
  </si>
  <si>
    <t xml:space="preserve">NTN38</t>
  </si>
  <si>
    <t xml:space="preserve">Priory Hospital Bristol</t>
  </si>
  <si>
    <t xml:space="preserve">BS16 1EQ</t>
  </si>
  <si>
    <t xml:space="preserve">0117 952 5255</t>
  </si>
  <si>
    <t xml:space="preserve">bristol@priorygroup.com</t>
  </si>
  <si>
    <t xml:space="preserve">https://www.priorygroup.com/locations/priory-hospital-bristol</t>
  </si>
  <si>
    <t xml:space="preserve">NTP11</t>
  </si>
  <si>
    <t xml:space="preserve">Southampton NHS Treatment Centre</t>
  </si>
  <si>
    <t xml:space="preserve">Practice Plus Group</t>
  </si>
  <si>
    <t xml:space="preserve">SO14 0YG</t>
  </si>
  <si>
    <t xml:space="preserve">0333 200 1820</t>
  </si>
  <si>
    <t xml:space="preserve">http://www.southamptontreatmentcentre.nhs.uk</t>
  </si>
  <si>
    <t xml:space="preserve">NTP15</t>
  </si>
  <si>
    <t xml:space="preserve">North East London NHS Treatment Centre</t>
  </si>
  <si>
    <t xml:space="preserve">IG3 8YB</t>
  </si>
  <si>
    <t xml:space="preserve">0333 200 4069</t>
  </si>
  <si>
    <t xml:space="preserve">cuk.enquiriesneltc@nhs.net</t>
  </si>
  <si>
    <t xml:space="preserve">http://www.nelondontreatmentcentre.nhs.uk</t>
  </si>
  <si>
    <t xml:space="preserve">NTY93</t>
  </si>
  <si>
    <t xml:space="preserve">Tarporley War Memorial Hospital Trust</t>
  </si>
  <si>
    <t xml:space="preserve">Other Private Healthcare Providers</t>
  </si>
  <si>
    <t xml:space="preserve">Tarporley</t>
  </si>
  <si>
    <t xml:space="preserve">CW6 0AP</t>
  </si>
  <si>
    <t xml:space="preserve">01829 732436</t>
  </si>
  <si>
    <t xml:space="preserve">NT457</t>
  </si>
  <si>
    <t xml:space="preserve">BMI Woodlands Hospital</t>
  </si>
  <si>
    <t xml:space="preserve">DL1 4PL</t>
  </si>
  <si>
    <t xml:space="preserve">01325 341700</t>
  </si>
  <si>
    <t xml:space="preserve">sophie.howey@bmihealthcare.co.uk</t>
  </si>
  <si>
    <t xml:space="preserve">https://www.bmihealthcare.co.uk/hospitals/bmi-woodlands-hospital</t>
  </si>
  <si>
    <t xml:space="preserve">NTYF2</t>
  </si>
  <si>
    <t xml:space="preserve">Optegra Eye Hospital Birmingham</t>
  </si>
  <si>
    <t xml:space="preserve">Optegra UK</t>
  </si>
  <si>
    <t xml:space="preserve">B4 7ET</t>
  </si>
  <si>
    <t xml:space="preserve">0121 204 3800</t>
  </si>
  <si>
    <t xml:space="preserve">icare.birmingham@optegra.com</t>
  </si>
  <si>
    <t xml:space="preserve">https://www.optegra.com</t>
  </si>
  <si>
    <t xml:space="preserve">NV201</t>
  </si>
  <si>
    <t xml:space="preserve">The Huntercombe Hospital Maidenhead</t>
  </si>
  <si>
    <t xml:space="preserve">The Huntercombe Group</t>
  </si>
  <si>
    <t xml:space="preserve">Maidenhead</t>
  </si>
  <si>
    <t xml:space="preserve">SL6 0PQ</t>
  </si>
  <si>
    <t xml:space="preserve">01628 667881</t>
  </si>
  <si>
    <t xml:space="preserve">maidenhead@huntercombe.com</t>
  </si>
  <si>
    <t xml:space="preserve">https://www.huntercombe.com/testimonials?center=701</t>
  </si>
  <si>
    <t xml:space="preserve">NV203</t>
  </si>
  <si>
    <t xml:space="preserve">The Huntercombe Hospital Stafford</t>
  </si>
  <si>
    <t xml:space="preserve">Stafford</t>
  </si>
  <si>
    <t xml:space="preserve">ST19 9QT</t>
  </si>
  <si>
    <t xml:space="preserve">01785 840000</t>
  </si>
  <si>
    <t xml:space="preserve">stafford@huntercombe.com</t>
  </si>
  <si>
    <t xml:space="preserve">http://www.huntercombe.com</t>
  </si>
  <si>
    <t xml:space="preserve">NV302</t>
  </si>
  <si>
    <t xml:space="preserve">Circle Bath Hospital</t>
  </si>
  <si>
    <t xml:space="preserve">Circle Health</t>
  </si>
  <si>
    <t xml:space="preserve">BA2 8SF</t>
  </si>
  <si>
    <t xml:space="preserve">01761 422222</t>
  </si>
  <si>
    <t xml:space="preserve">https://www.circlehealth.co.uk/bath</t>
  </si>
  <si>
    <t xml:space="preserve">NV323</t>
  </si>
  <si>
    <t xml:space="preserve">Circle Reading Hospital</t>
  </si>
  <si>
    <t xml:space="preserve">RG2 0NE</t>
  </si>
  <si>
    <t xml:space="preserve">01189 226 888</t>
  </si>
  <si>
    <t xml:space="preserve">enquiries@circlereading.co.uk</t>
  </si>
  <si>
    <t xml:space="preserve">http://www.circlereading.co.uk</t>
  </si>
  <si>
    <t xml:space="preserve">NV7R1</t>
  </si>
  <si>
    <t xml:space="preserve">Bupa Cromwell Hospital</t>
  </si>
  <si>
    <t xml:space="preserve">Bupa Group</t>
  </si>
  <si>
    <t xml:space="preserve">SW5 0TU</t>
  </si>
  <si>
    <t xml:space="preserve">020 7460 2000</t>
  </si>
  <si>
    <t xml:space="preserve">info@cromwellhospital.com</t>
  </si>
  <si>
    <t xml:space="preserve">http://www.bupacromwellhospital.com</t>
  </si>
  <si>
    <t xml:space="preserve">NVC01</t>
  </si>
  <si>
    <t xml:space="preserve">Ashtead Hospital</t>
  </si>
  <si>
    <t xml:space="preserve">Ashtead</t>
  </si>
  <si>
    <t xml:space="preserve">KT21 2SB</t>
  </si>
  <si>
    <t xml:space="preserve">01372 221 400</t>
  </si>
  <si>
    <t xml:space="preserve">ashtead.enquiries@ramsayhealth.co.uk</t>
  </si>
  <si>
    <t xml:space="preserve">http://www.ashteadhospital.co.uk</t>
  </si>
  <si>
    <t xml:space="preserve">NVC02</t>
  </si>
  <si>
    <t xml:space="preserve">The Berkshire Independent Hospital</t>
  </si>
  <si>
    <t xml:space="preserve">RG1 6UZ</t>
  </si>
  <si>
    <t xml:space="preserve">0118 902 8121</t>
  </si>
  <si>
    <t xml:space="preserve">berkshire.enquiries@ramsayhealth.co.uk</t>
  </si>
  <si>
    <t xml:space="preserve">http://www.berkshireindependenthospital.co.uk</t>
  </si>
  <si>
    <t xml:space="preserve">NVC04</t>
  </si>
  <si>
    <t xml:space="preserve">Duchy Hospital</t>
  </si>
  <si>
    <t xml:space="preserve">Truro</t>
  </si>
  <si>
    <t xml:space="preserve">Cornwall</t>
  </si>
  <si>
    <t xml:space="preserve">TR1 3UP</t>
  </si>
  <si>
    <t xml:space="preserve">01872 226115</t>
  </si>
  <si>
    <t xml:space="preserve">duchy.enquiries@ramsayhealth.co.uk</t>
  </si>
  <si>
    <t xml:space="preserve">http://www.duchyhospital.co.uk</t>
  </si>
  <si>
    <t xml:space="preserve">NVC05</t>
  </si>
  <si>
    <t xml:space="preserve">Euxton Hall Hospital</t>
  </si>
  <si>
    <t xml:space="preserve">Chorley</t>
  </si>
  <si>
    <t xml:space="preserve">PR7 6DY</t>
  </si>
  <si>
    <t xml:space="preserve">01257 237002</t>
  </si>
  <si>
    <t xml:space="preserve">euxton.enquiries@ramsayhealth.co.uk</t>
  </si>
  <si>
    <t xml:space="preserve">http://www.euxtonhallhospital.co.uk</t>
  </si>
  <si>
    <t xml:space="preserve">NVC06</t>
  </si>
  <si>
    <t xml:space="preserve">Fitzwilliam Hospital</t>
  </si>
  <si>
    <t xml:space="preserve">PE3 9AQ</t>
  </si>
  <si>
    <t xml:space="preserve">01733 842333</t>
  </si>
  <si>
    <t xml:space="preserve">fitzwilliam.enquiries@ramsayhealth.co.uk</t>
  </si>
  <si>
    <t xml:space="preserve">http://www.fitzwilliamhospital.co.uk</t>
  </si>
  <si>
    <t xml:space="preserve">NVC07</t>
  </si>
  <si>
    <t xml:space="preserve">Fulwood Hall Hospital</t>
  </si>
  <si>
    <t xml:space="preserve">PR2 9SZ</t>
  </si>
  <si>
    <t xml:space="preserve">01772 707426</t>
  </si>
  <si>
    <t xml:space="preserve">fulwood.enquiries@ramsayhealth.co.uk</t>
  </si>
  <si>
    <t xml:space="preserve">http://www.fulwoodhallhospital.co.uk</t>
  </si>
  <si>
    <t xml:space="preserve">NVC08</t>
  </si>
  <si>
    <t xml:space="preserve">Mount Stuart Hospital</t>
  </si>
  <si>
    <t xml:space="preserve">Torquay</t>
  </si>
  <si>
    <t xml:space="preserve">TQ1 4UP</t>
  </si>
  <si>
    <t xml:space="preserve">01803 321690</t>
  </si>
  <si>
    <t xml:space="preserve">mountstuart.enquiries@ramsayhealth.co.uk</t>
  </si>
  <si>
    <t xml:space="preserve">http://www.mountstuarthospital.co.uk</t>
  </si>
  <si>
    <t xml:space="preserve">NVC09</t>
  </si>
  <si>
    <t xml:space="preserve">New Hall Hospital</t>
  </si>
  <si>
    <t xml:space="preserve">Salisbury</t>
  </si>
  <si>
    <t xml:space="preserve">SP5 4EW</t>
  </si>
  <si>
    <t xml:space="preserve">01722 422333</t>
  </si>
  <si>
    <t xml:space="preserve">newhall.enquiries@ramsayhealth.co.uk</t>
  </si>
  <si>
    <t xml:space="preserve">http://www.new-hallhospital.co.uk</t>
  </si>
  <si>
    <t xml:space="preserve">NVC11</t>
  </si>
  <si>
    <t xml:space="preserve">North Downs Hospital</t>
  </si>
  <si>
    <t xml:space="preserve">Caterham</t>
  </si>
  <si>
    <t xml:space="preserve">CR3 6DP</t>
  </si>
  <si>
    <t xml:space="preserve">01883 348981</t>
  </si>
  <si>
    <t xml:space="preserve">northdowns.enquiries@ramsayhealth.co.uk</t>
  </si>
  <si>
    <t xml:space="preserve">http://www.northdownshospital.co.uk</t>
  </si>
  <si>
    <t xml:space="preserve">NVC12</t>
  </si>
  <si>
    <t xml:space="preserve">Oaklands Hospital</t>
  </si>
  <si>
    <t xml:space="preserve">Salford</t>
  </si>
  <si>
    <t xml:space="preserve">M6 8AQ</t>
  </si>
  <si>
    <t xml:space="preserve">01617 879 460</t>
  </si>
  <si>
    <t xml:space="preserve">oaklands.enquiries@ramsayhealth.co.uk</t>
  </si>
  <si>
    <t xml:space="preserve">http://www.oaklands-hospital.co.uk</t>
  </si>
  <si>
    <t xml:space="preserve">NVC13</t>
  </si>
  <si>
    <t xml:space="preserve">Oaks Hospital</t>
  </si>
  <si>
    <t xml:space="preserve">Colchester</t>
  </si>
  <si>
    <t xml:space="preserve">CO4 5XR</t>
  </si>
  <si>
    <t xml:space="preserve">01206 753264</t>
  </si>
  <si>
    <t xml:space="preserve">oaks.enquiries@ramsayhealth.co.uk</t>
  </si>
  <si>
    <t xml:space="preserve">http://www.oakshospital.co.uk</t>
  </si>
  <si>
    <t xml:space="preserve">NVC14</t>
  </si>
  <si>
    <t xml:space="preserve">Park Hill Hospital</t>
  </si>
  <si>
    <t xml:space="preserve">Doncaster</t>
  </si>
  <si>
    <t xml:space="preserve">DN2 5TH</t>
  </si>
  <si>
    <t xml:space="preserve">01302 553332</t>
  </si>
  <si>
    <t xml:space="preserve">parkhill.enquiries@ramsayhealth.co.uk</t>
  </si>
  <si>
    <t xml:space="preserve">http://www.parkhillhospital.co.uk</t>
  </si>
  <si>
    <t xml:space="preserve">NVC15</t>
  </si>
  <si>
    <t xml:space="preserve">Pinehill Hospital</t>
  </si>
  <si>
    <t xml:space="preserve">Hitchin</t>
  </si>
  <si>
    <t xml:space="preserve">SG4 9QZ</t>
  </si>
  <si>
    <t xml:space="preserve">01462 427218</t>
  </si>
  <si>
    <t xml:space="preserve">pinehill.enquiries@ramsayhealth.co.uk</t>
  </si>
  <si>
    <t xml:space="preserve">http://www.pinehillhospital.co.uk</t>
  </si>
  <si>
    <t xml:space="preserve">NVC16</t>
  </si>
  <si>
    <t xml:space="preserve">Renacres Hospital</t>
  </si>
  <si>
    <t xml:space="preserve">Ormskirk</t>
  </si>
  <si>
    <t xml:space="preserve">L39 8SE</t>
  </si>
  <si>
    <t xml:space="preserve">01704 842017</t>
  </si>
  <si>
    <t xml:space="preserve">renacres.enquiries@ramsayhealth.co.uk</t>
  </si>
  <si>
    <t xml:space="preserve">http://www.renacreshospital.co.uk</t>
  </si>
  <si>
    <t xml:space="preserve">NVC17</t>
  </si>
  <si>
    <t xml:space="preserve">Rowley Hall Hospital</t>
  </si>
  <si>
    <t xml:space="preserve">ST17 9AQ</t>
  </si>
  <si>
    <t xml:space="preserve">01785 238682</t>
  </si>
  <si>
    <t xml:space="preserve">rowley.enquiries@ramsayhealth.co.uk</t>
  </si>
  <si>
    <t xml:space="preserve">http://www.rowleyhospital.co.uk</t>
  </si>
  <si>
    <t xml:space="preserve">NVC18</t>
  </si>
  <si>
    <t xml:space="preserve">Springfield Hospital</t>
  </si>
  <si>
    <t xml:space="preserve">CM1 7GU</t>
  </si>
  <si>
    <t xml:space="preserve">01245 234151</t>
  </si>
  <si>
    <t xml:space="preserve">springfield.enquiries@ramsayhealth.co.uk</t>
  </si>
  <si>
    <t xml:space="preserve">http://www.springfieldhospital.co.uk</t>
  </si>
  <si>
    <t xml:space="preserve">NVC19</t>
  </si>
  <si>
    <t xml:space="preserve">Rivers Hospital</t>
  </si>
  <si>
    <t xml:space="preserve">Sawbridgeworth</t>
  </si>
  <si>
    <t xml:space="preserve">CM21 0HH</t>
  </si>
  <si>
    <t xml:space="preserve">01279 602672</t>
  </si>
  <si>
    <t xml:space="preserve">rivers.enquiries@ramsayhealth.co.uk</t>
  </si>
  <si>
    <t xml:space="preserve">https://www.rivershospital.co.uk</t>
  </si>
  <si>
    <t xml:space="preserve">NVC21</t>
  </si>
  <si>
    <t xml:space="preserve">West Midlands Hospital</t>
  </si>
  <si>
    <t xml:space="preserve">Halesowen</t>
  </si>
  <si>
    <t xml:space="preserve">B63 2AH</t>
  </si>
  <si>
    <t xml:space="preserve">01384 632618</t>
  </si>
  <si>
    <t xml:space="preserve">westmidlands.enquiries@ramsayhealth.co.uk</t>
  </si>
  <si>
    <t xml:space="preserve">http://www.westmidlandshospital.co.uk</t>
  </si>
  <si>
    <t xml:space="preserve">NVC22</t>
  </si>
  <si>
    <t xml:space="preserve">Winfield Hospital</t>
  </si>
  <si>
    <t xml:space="preserve">Gloucester</t>
  </si>
  <si>
    <t xml:space="preserve">GL2 9WH</t>
  </si>
  <si>
    <t xml:space="preserve">01452 306009</t>
  </si>
  <si>
    <t xml:space="preserve">winfield.enquiries@ramsayhealth.co.uk</t>
  </si>
  <si>
    <t xml:space="preserve">http://www.winfieldhospital.co.uk</t>
  </si>
  <si>
    <t xml:space="preserve">NVC23</t>
  </si>
  <si>
    <t xml:space="preserve">Woodland Hospital</t>
  </si>
  <si>
    <t xml:space="preserve">Kettering</t>
  </si>
  <si>
    <t xml:space="preserve">NN16 8XF</t>
  </si>
  <si>
    <t xml:space="preserve">01536 536882</t>
  </si>
  <si>
    <t xml:space="preserve">woodland.enquiries@ramsayhealth.co.uk</t>
  </si>
  <si>
    <t xml:space="preserve">http://www.woodlandhospital.co.uk</t>
  </si>
  <si>
    <t xml:space="preserve">NVC25</t>
  </si>
  <si>
    <t xml:space="preserve">Horton NHS Treatment Centre</t>
  </si>
  <si>
    <t xml:space="preserve">Banbury</t>
  </si>
  <si>
    <t xml:space="preserve">OX16 9FG</t>
  </si>
  <si>
    <t xml:space="preserve">01295 755000</t>
  </si>
  <si>
    <t xml:space="preserve">horton.enquiries@ramsayhealth.co.uk</t>
  </si>
  <si>
    <t xml:space="preserve">http://www.hortontreatmentcentre.co.uk</t>
  </si>
  <si>
    <t xml:space="preserve">NVC27</t>
  </si>
  <si>
    <t xml:space="preserve">Boston West Hospital</t>
  </si>
  <si>
    <t xml:space="preserve">Boston</t>
  </si>
  <si>
    <t xml:space="preserve">PE21 8EG</t>
  </si>
  <si>
    <t xml:space="preserve">01205 533998</t>
  </si>
  <si>
    <t xml:space="preserve">boston.enquiries@ramsayhealth.co.uk</t>
  </si>
  <si>
    <t xml:space="preserve">http://www.bostonwesthospital.co.uk</t>
  </si>
  <si>
    <t xml:space="preserve">NVC28</t>
  </si>
  <si>
    <t xml:space="preserve">Clifton Park Hospital</t>
  </si>
  <si>
    <t xml:space="preserve">YO30 5RA</t>
  </si>
  <si>
    <t xml:space="preserve">01904 464654</t>
  </si>
  <si>
    <t xml:space="preserve">clifton.enquiries@ramsayhealth.co.uk</t>
  </si>
  <si>
    <t xml:space="preserve">http://www.cliftonparkhospital.co.uk</t>
  </si>
  <si>
    <t xml:space="preserve">NVC29</t>
  </si>
  <si>
    <t xml:space="preserve">Cobalt Hospital</t>
  </si>
  <si>
    <t xml:space="preserve">NE27 0BY</t>
  </si>
  <si>
    <t xml:space="preserve">0191 2703 250</t>
  </si>
  <si>
    <t xml:space="preserve">cobalt.enquiries@ramsayhealth.co.uk</t>
  </si>
  <si>
    <t xml:space="preserve">http://www.cobalthospital.co.uk</t>
  </si>
  <si>
    <t xml:space="preserve">NVC31</t>
  </si>
  <si>
    <t xml:space="preserve">Blakelands Hospital</t>
  </si>
  <si>
    <t xml:space="preserve">MK14 5HR</t>
  </si>
  <si>
    <t xml:space="preserve">01908 334200</t>
  </si>
  <si>
    <t xml:space="preserve">blakelands.enquiries@ramsayhealth.co.uk</t>
  </si>
  <si>
    <t xml:space="preserve">http://www.blakelandshospital.co.uk</t>
  </si>
  <si>
    <t xml:space="preserve">NVC33</t>
  </si>
  <si>
    <t xml:space="preserve">Gisburne Park NHS Treatment Centre</t>
  </si>
  <si>
    <t xml:space="preserve">christinebailey@abbeyhospitals.com</t>
  </si>
  <si>
    <t xml:space="preserve">http://www.ramsayhealth.co.uk/nhs</t>
  </si>
  <si>
    <t xml:space="preserve">NVC40</t>
  </si>
  <si>
    <t xml:space="preserve">Woodthorpe Hospital</t>
  </si>
  <si>
    <t xml:space="preserve">Nottingham</t>
  </si>
  <si>
    <t xml:space="preserve">NG5 3FZ</t>
  </si>
  <si>
    <t xml:space="preserve">0115 9209 209</t>
  </si>
  <si>
    <t xml:space="preserve">nottingham.enquiries@ramsayhealth.co.uk</t>
  </si>
  <si>
    <t xml:space="preserve">http://www.woodthorpehospital.co.uk</t>
  </si>
  <si>
    <t xml:space="preserve">NVC44</t>
  </si>
  <si>
    <t xml:space="preserve">The Westbourne Centre</t>
  </si>
  <si>
    <t xml:space="preserve">B15 3SJ</t>
  </si>
  <si>
    <t xml:space="preserve">0121 456 0880</t>
  </si>
  <si>
    <t xml:space="preserve">westbourne.admin@nhs.net</t>
  </si>
  <si>
    <t xml:space="preserve">http://www.westbournecentre.com</t>
  </si>
  <si>
    <t xml:space="preserve">NVG01</t>
  </si>
  <si>
    <t xml:space="preserve">Fairfield Independent Hospital</t>
  </si>
  <si>
    <t xml:space="preserve">Fairfield Hospital</t>
  </si>
  <si>
    <t xml:space="preserve">St. Helens</t>
  </si>
  <si>
    <t xml:space="preserve">WA11 7RS</t>
  </si>
  <si>
    <t xml:space="preserve">01744 739311</t>
  </si>
  <si>
    <t xml:space="preserve">enquiries@fairfield.org.uk</t>
  </si>
  <si>
    <t xml:space="preserve">https://www.fairfield.org.uk</t>
  </si>
  <si>
    <t xml:space="preserve">NW605</t>
  </si>
  <si>
    <t xml:space="preserve">London Bridge Hospital</t>
  </si>
  <si>
    <t xml:space="preserve">Hca International</t>
  </si>
  <si>
    <t xml:space="preserve">SE1 2PR</t>
  </si>
  <si>
    <t xml:space="preserve">0207 407 3100</t>
  </si>
  <si>
    <t xml:space="preserve">info.lbh@hcahealthcare.co.uk</t>
  </si>
  <si>
    <t xml:space="preserve">http://www.londonbridgehospital.com</t>
  </si>
  <si>
    <t xml:space="preserve">NWF01</t>
  </si>
  <si>
    <t xml:space="preserve">Benenden Hospital</t>
  </si>
  <si>
    <t xml:space="preserve">Cranbrook</t>
  </si>
  <si>
    <t xml:space="preserve">TN17 4AX</t>
  </si>
  <si>
    <t xml:space="preserve">01580 240333</t>
  </si>
  <si>
    <t xml:space="preserve">https://www.benendenhospital.org.uk</t>
  </si>
  <si>
    <t xml:space="preserve">NXM01</t>
  </si>
  <si>
    <t xml:space="preserve">The Horder Centre</t>
  </si>
  <si>
    <t xml:space="preserve">Crowborough</t>
  </si>
  <si>
    <t xml:space="preserve">TN6 1XP</t>
  </si>
  <si>
    <t xml:space="preserve">01892 665577</t>
  </si>
  <si>
    <t xml:space="preserve">info@horder.co.uk</t>
  </si>
  <si>
    <t xml:space="preserve">https://www.horderhealthcare.co.uk</t>
  </si>
  <si>
    <t xml:space="preserve">R1ARE</t>
  </si>
  <si>
    <t xml:space="preserve">Evesham Community Hospital</t>
  </si>
  <si>
    <t xml:space="preserve">Worcestershire Health and Care NHS Trust</t>
  </si>
  <si>
    <t xml:space="preserve">Evesham</t>
  </si>
  <si>
    <t xml:space="preserve">WR11 1JT</t>
  </si>
  <si>
    <t xml:space="preserve">01386 502449</t>
  </si>
  <si>
    <t xml:space="preserve">https://www.hacw.nhs.uk/evesham-community-hospital</t>
  </si>
  <si>
    <t xml:space="preserve">R1ARG</t>
  </si>
  <si>
    <t xml:space="preserve">Malvern Community Hospital</t>
  </si>
  <si>
    <t xml:space="preserve">Malvern</t>
  </si>
  <si>
    <t xml:space="preserve">WR14 1EX</t>
  </si>
  <si>
    <t xml:space="preserve">01684 612600</t>
  </si>
  <si>
    <t xml:space="preserve">https://www.hacw.nhs.uk/malvern-community-hospital</t>
  </si>
  <si>
    <t xml:space="preserve">R1A04</t>
  </si>
  <si>
    <t xml:space="preserve">Princess of Wales Community Hospital - Worcestershire Health and Care NHS Trust</t>
  </si>
  <si>
    <t xml:space="preserve">Bromsgrove</t>
  </si>
  <si>
    <t xml:space="preserve">B61 0BB</t>
  </si>
  <si>
    <t xml:space="preserve">01527 488000</t>
  </si>
  <si>
    <t xml:space="preserve">https://www.hacw.nhs.uk/princess-of-wales-community-hospital</t>
  </si>
  <si>
    <t xml:space="preserve">R1D21</t>
  </si>
  <si>
    <t xml:space="preserve">Ludlow Community Hospital</t>
  </si>
  <si>
    <t xml:space="preserve">Shropshire Community Health NHS Trust</t>
  </si>
  <si>
    <t xml:space="preserve">Ludlow</t>
  </si>
  <si>
    <t xml:space="preserve">SY8 1QX</t>
  </si>
  <si>
    <t xml:space="preserve">01584 872201</t>
  </si>
  <si>
    <t xml:space="preserve">shropcom.ludlowadmin@nhs.net</t>
  </si>
  <si>
    <t xml:space="preserve">http://www.shropscommunityhealth.nhs.uk</t>
  </si>
  <si>
    <t xml:space="preserve">R1D22</t>
  </si>
  <si>
    <t xml:space="preserve">Bridgnorth Community Hospital</t>
  </si>
  <si>
    <t xml:space="preserve">Bridgnorth</t>
  </si>
  <si>
    <t xml:space="preserve">WV16 4EU</t>
  </si>
  <si>
    <t xml:space="preserve">01746 762641</t>
  </si>
  <si>
    <t xml:space="preserve">shropcom.bridgnorthreception@nhs.net</t>
  </si>
  <si>
    <t xml:space="preserve">R1D25</t>
  </si>
  <si>
    <t xml:space="preserve">Bishop's Castle Community Hospital</t>
  </si>
  <si>
    <t xml:space="preserve">Bishop's Castle</t>
  </si>
  <si>
    <t xml:space="preserve">SY9 5AJ</t>
  </si>
  <si>
    <t xml:space="preserve">01588 638220</t>
  </si>
  <si>
    <t xml:space="preserve">shropcom.bishopscastlehosp@nhs.net</t>
  </si>
  <si>
    <t xml:space="preserve">R1D34</t>
  </si>
  <si>
    <t xml:space="preserve">Whitchurch Community Hospital</t>
  </si>
  <si>
    <t xml:space="preserve">Whitchurch</t>
  </si>
  <si>
    <t xml:space="preserve">SY13 1NT</t>
  </si>
  <si>
    <t xml:space="preserve">01948 666292</t>
  </si>
  <si>
    <t xml:space="preserve">shropcom.whitchurchreception@nhs.net</t>
  </si>
  <si>
    <t xml:space="preserve">R1H11</t>
  </si>
  <si>
    <t xml:space="preserve">Gateway Surgical Centre</t>
  </si>
  <si>
    <t xml:space="preserve">Barts Health NHS Trust</t>
  </si>
  <si>
    <t xml:space="preserve">E13 8SL</t>
  </si>
  <si>
    <t xml:space="preserve">020 7055 5550</t>
  </si>
  <si>
    <t xml:space="preserve">https://www.bartshealth.nhs.uk/newham</t>
  </si>
  <si>
    <t xml:space="preserve">R1H12</t>
  </si>
  <si>
    <t xml:space="preserve">The Royal London Hospital</t>
  </si>
  <si>
    <t xml:space="preserve">E1 1FR</t>
  </si>
  <si>
    <t xml:space="preserve">020 7377 7000</t>
  </si>
  <si>
    <t xml:space="preserve">rlhpals@bartshealth.nhs.uk</t>
  </si>
  <si>
    <t xml:space="preserve">http://www.bartshealth.nhs.uk</t>
  </si>
  <si>
    <t xml:space="preserve">R1H13</t>
  </si>
  <si>
    <t xml:space="preserve">Mile End Hospital</t>
  </si>
  <si>
    <t xml:space="preserve">E1 4DG</t>
  </si>
  <si>
    <t xml:space="preserve">bhnt.pals@nhs.net</t>
  </si>
  <si>
    <t xml:space="preserve">R1HKH</t>
  </si>
  <si>
    <t xml:space="preserve">Whipps Cross Hospital</t>
  </si>
  <si>
    <t xml:space="preserve">E11 1NR</t>
  </si>
  <si>
    <t xml:space="preserve">020 8539 5522</t>
  </si>
  <si>
    <t xml:space="preserve">wxpals@bartshealth.nhs.uk</t>
  </si>
  <si>
    <t xml:space="preserve">R1HM0</t>
  </si>
  <si>
    <t xml:space="preserve">St Bartholomew's Hospital</t>
  </si>
  <si>
    <t xml:space="preserve">City of London</t>
  </si>
  <si>
    <t xml:space="preserve">EC1A 7BE</t>
  </si>
  <si>
    <t xml:space="preserve">sbhpals.bartshealth@nhs.net</t>
  </si>
  <si>
    <t xml:space="preserve">https://www.bartshealth.nhs.uk/st-bartholomews</t>
  </si>
  <si>
    <t xml:space="preserve">R1HNH</t>
  </si>
  <si>
    <t xml:space="preserve">Newham Hospital</t>
  </si>
  <si>
    <t xml:space="preserve">020 7476 4000</t>
  </si>
  <si>
    <t xml:space="preserve">nuhpals@bartshealth.nhs.uk</t>
  </si>
  <si>
    <t xml:space="preserve">RA201</t>
  </si>
  <si>
    <t xml:space="preserve">Royal Surrey County Hospital</t>
  </si>
  <si>
    <t xml:space="preserve">Royal Surrey NHS Foundation Trust</t>
  </si>
  <si>
    <t xml:space="preserve">GU2 7XX</t>
  </si>
  <si>
    <t xml:space="preserve">01483 571122</t>
  </si>
  <si>
    <t xml:space="preserve">http://www.royalsurrey.nhs.uk</t>
  </si>
  <si>
    <t xml:space="preserve">RA430</t>
  </si>
  <si>
    <t xml:space="preserve">Yeovil District Hospital</t>
  </si>
  <si>
    <t xml:space="preserve">Yeovil District Hospital NHS Foundation Trust</t>
  </si>
  <si>
    <t xml:space="preserve">Yeovil</t>
  </si>
  <si>
    <t xml:space="preserve">BA21 4AT</t>
  </si>
  <si>
    <t xml:space="preserve">01935 475122</t>
  </si>
  <si>
    <t xml:space="preserve">communications@ydh.nhs.uk</t>
  </si>
  <si>
    <t xml:space="preserve">http://www.yeovilhospital.nhs.uk</t>
  </si>
  <si>
    <t xml:space="preserve">RA701</t>
  </si>
  <si>
    <t xml:space="preserve">Bristol Royal Infirmary</t>
  </si>
  <si>
    <t xml:space="preserve">University Hospitals Bristol and Weston NHS Foundation Trust</t>
  </si>
  <si>
    <t xml:space="preserve">BS2 8HW</t>
  </si>
  <si>
    <t xml:space="preserve">0117 923 0000</t>
  </si>
  <si>
    <t xml:space="preserve">http://www.uhbristol.nhs.uk/your-hospitals/bristol-royal-infirmary.html</t>
  </si>
  <si>
    <t xml:space="preserve">RA707</t>
  </si>
  <si>
    <t xml:space="preserve">St Michael's Hospital</t>
  </si>
  <si>
    <t xml:space="preserve">BS2 8EG</t>
  </si>
  <si>
    <t xml:space="preserve">0117 342 5325</t>
  </si>
  <si>
    <t xml:space="preserve">http://www.uhbristol.nhs.uk/your-hospitals/st-michaels-hospital.html</t>
  </si>
  <si>
    <t xml:space="preserve">RA708</t>
  </si>
  <si>
    <t xml:space="preserve">Bristol Eye Hospital</t>
  </si>
  <si>
    <t xml:space="preserve">BS1 2LX</t>
  </si>
  <si>
    <t xml:space="preserve">0117 342 4176</t>
  </si>
  <si>
    <t xml:space="preserve">http://www.uhbristol.nhs.uk/your-hospitals/bristol-eye-hospital.html</t>
  </si>
  <si>
    <t xml:space="preserve">RA709</t>
  </si>
  <si>
    <t xml:space="preserve">University Of Bristol Dental Hospital</t>
  </si>
  <si>
    <t xml:space="preserve">BS1 2LY</t>
  </si>
  <si>
    <t xml:space="preserve">0117 342 4422</t>
  </si>
  <si>
    <t xml:space="preserve">http://www.uhbristol.nhs.uk/your-hospitals/university-of-bristol-dental-hospital.html</t>
  </si>
  <si>
    <t xml:space="preserve">RA723</t>
  </si>
  <si>
    <t xml:space="preserve">Bristol Royal Hospital For Children</t>
  </si>
  <si>
    <t xml:space="preserve">BS2 8BJ</t>
  </si>
  <si>
    <t xml:space="preserve">0117 342 8460</t>
  </si>
  <si>
    <t xml:space="preserve">http://www.uhbristol.nhs.uk/your-hospitals/bristol-royal-hospital-for-children.html</t>
  </si>
  <si>
    <t xml:space="preserve">RA773</t>
  </si>
  <si>
    <t xml:space="preserve">South Bristol Community Hospital</t>
  </si>
  <si>
    <t xml:space="preserve">BS14 0DB</t>
  </si>
  <si>
    <t xml:space="preserve">http://www.uhbristol.nhs.uk/patients-and-visitors/your-hospitals/south-bristol-community-hospital</t>
  </si>
  <si>
    <t xml:space="preserve">RA7C2</t>
  </si>
  <si>
    <t xml:space="preserve">Weston General Hospital</t>
  </si>
  <si>
    <t xml:space="preserve">Weston-Super-Mare</t>
  </si>
  <si>
    <t xml:space="preserve">BS23 4TQ</t>
  </si>
  <si>
    <t xml:space="preserve">RA901</t>
  </si>
  <si>
    <t xml:space="preserve">Torbay Hospital</t>
  </si>
  <si>
    <t xml:space="preserve">Torbay and South Devon NHS Foundation Trust</t>
  </si>
  <si>
    <t xml:space="preserve">TQ2 7AA</t>
  </si>
  <si>
    <t xml:space="preserve">01803 614567</t>
  </si>
  <si>
    <t xml:space="preserve">chiefexecutive.sdhct@nhs.net</t>
  </si>
  <si>
    <t xml:space="preserve">http://www.torbayandsouthdevon.nhs.uk</t>
  </si>
  <si>
    <t xml:space="preserve">RA954</t>
  </si>
  <si>
    <t xml:space="preserve">Brixham Hospital - Torbay and South Devon NHS Foundation Trust</t>
  </si>
  <si>
    <t xml:space="preserve">Brixham</t>
  </si>
  <si>
    <t xml:space="preserve">TQ5 9HW</t>
  </si>
  <si>
    <t xml:space="preserve">01803 881399</t>
  </si>
  <si>
    <t xml:space="preserve">https://www.torbayandsouthdevon.nhs.uk/visiting-us/ashburton-and-buckfastleigh-health-and-wellbeing-</t>
  </si>
  <si>
    <t xml:space="preserve">RA956</t>
  </si>
  <si>
    <t xml:space="preserve">Dawlish Hospital - Torbay and South Devon NHS Foundation Trust</t>
  </si>
  <si>
    <t xml:space="preserve">Dawlish</t>
  </si>
  <si>
    <t xml:space="preserve">EX7 9DH</t>
  </si>
  <si>
    <t xml:space="preserve">01626 868 500</t>
  </si>
  <si>
    <t xml:space="preserve">https://www.torbayandsouthdevon.nhs.uk/visiting-us/dawlish-community-hospital</t>
  </si>
  <si>
    <t xml:space="preserve">RA957</t>
  </si>
  <si>
    <t xml:space="preserve">Newton Abbot Community Hospital - Torbay and South Devon NHS Foundation Trust</t>
  </si>
  <si>
    <t xml:space="preserve">Newton Abbot</t>
  </si>
  <si>
    <t xml:space="preserve">TQ12 2TS</t>
  </si>
  <si>
    <t xml:space="preserve">01626 324500</t>
  </si>
  <si>
    <t xml:space="preserve">https://www.torbayandsouthdevon.nhs.uk/visiting-us/newton-abbot-community-hospital</t>
  </si>
  <si>
    <t xml:space="preserve">RA958</t>
  </si>
  <si>
    <t xml:space="preserve">Paignton Health and Welllbeing Centre</t>
  </si>
  <si>
    <t xml:space="preserve">Paignton</t>
  </si>
  <si>
    <t xml:space="preserve">TQ3 3AG</t>
  </si>
  <si>
    <t xml:space="preserve">01803 547171</t>
  </si>
  <si>
    <t xml:space="preserve">https://www.torbayandsouthdevon.nhs.uk/visiting-us/paignton-health-and-wellbeing-centre</t>
  </si>
  <si>
    <t xml:space="preserve">RA959</t>
  </si>
  <si>
    <t xml:space="preserve">Teignmouth Hospital</t>
  </si>
  <si>
    <t xml:space="preserve">Teignmouth</t>
  </si>
  <si>
    <t xml:space="preserve">TQ14 9BQ</t>
  </si>
  <si>
    <t xml:space="preserve">01626 772 161</t>
  </si>
  <si>
    <t xml:space="preserve">https://www.torbayandsouthdevon.nhs.uk/visiting-us/teignmouth-community-hospital</t>
  </si>
  <si>
    <t xml:space="preserve">RA979</t>
  </si>
  <si>
    <t xml:space="preserve">Totnes Hospital - Torbay and South Devon NHS Foundation Trust</t>
  </si>
  <si>
    <t xml:space="preserve">Totnes</t>
  </si>
  <si>
    <t xml:space="preserve">TQ9 5GH</t>
  </si>
  <si>
    <t xml:space="preserve">01803 862622</t>
  </si>
  <si>
    <t xml:space="preserve">https://www.torbayandsouthdevon.nhs.uk/visiting-us/totnes-community-hospital</t>
  </si>
  <si>
    <t xml:space="preserve">RAE01</t>
  </si>
  <si>
    <t xml:space="preserve">Bradford Royal Infirmary</t>
  </si>
  <si>
    <t xml:space="preserve">Bradford Teaching Hospitals NHS Foundation Trust</t>
  </si>
  <si>
    <t xml:space="preserve">Bradford</t>
  </si>
  <si>
    <t xml:space="preserve">BD9 6RJ</t>
  </si>
  <si>
    <t xml:space="preserve">01274 542200</t>
  </si>
  <si>
    <t xml:space="preserve">http://www.bradfordhospitals.nhs.uk</t>
  </si>
  <si>
    <t xml:space="preserve">RAE05</t>
  </si>
  <si>
    <t xml:space="preserve">St Lukes Hospital</t>
  </si>
  <si>
    <t xml:space="preserve">BD5 0NA</t>
  </si>
  <si>
    <t xml:space="preserve">01274 734744</t>
  </si>
  <si>
    <t xml:space="preserve">RAE2H</t>
  </si>
  <si>
    <t xml:space="preserve">Shipley Hospital</t>
  </si>
  <si>
    <t xml:space="preserve">Shipley</t>
  </si>
  <si>
    <t xml:space="preserve">BD18 3LT</t>
  </si>
  <si>
    <t xml:space="preserve">01274 773390</t>
  </si>
  <si>
    <t xml:space="preserve">RAE4H</t>
  </si>
  <si>
    <t xml:space="preserve">Eccleshill Community Hospital</t>
  </si>
  <si>
    <t xml:space="preserve">BD10 0JE</t>
  </si>
  <si>
    <t xml:space="preserve">01274 323200</t>
  </si>
  <si>
    <t xml:space="preserve">RAJ01</t>
  </si>
  <si>
    <t xml:space="preserve">Southend Hospital</t>
  </si>
  <si>
    <t xml:space="preserve">Mid and South Essex NHS Foundation Trust</t>
  </si>
  <si>
    <t xml:space="preserve">SS0 0RY</t>
  </si>
  <si>
    <t xml:space="preserve">01702 435555</t>
  </si>
  <si>
    <t xml:space="preserve">http://www.southend.nhs.uk</t>
  </si>
  <si>
    <t xml:space="preserve">RAJ25</t>
  </si>
  <si>
    <t xml:space="preserve">Brentwood Community Hospital</t>
  </si>
  <si>
    <t xml:space="preserve">CM15 8DR</t>
  </si>
  <si>
    <t xml:space="preserve">01277 695000</t>
  </si>
  <si>
    <t xml:space="preserve">RAL01</t>
  </si>
  <si>
    <t xml:space="preserve">Royal Free Hospital</t>
  </si>
  <si>
    <t xml:space="preserve">Royal Free London NHS Foundation Trust</t>
  </si>
  <si>
    <t xml:space="preserve">NW3 2QG</t>
  </si>
  <si>
    <t xml:space="preserve">020 7794 0500</t>
  </si>
  <si>
    <t xml:space="preserve">rf.pals@nhs.net</t>
  </si>
  <si>
    <t xml:space="preserve">http://www.royalfree.nhs.uk</t>
  </si>
  <si>
    <t xml:space="preserve">RAL22</t>
  </si>
  <si>
    <t xml:space="preserve">Finchley Memorial Hospital</t>
  </si>
  <si>
    <t xml:space="preserve">N12 0JE</t>
  </si>
  <si>
    <t xml:space="preserve">020 8349 7500</t>
  </si>
  <si>
    <t xml:space="preserve">RALRA</t>
  </si>
  <si>
    <t xml:space="preserve">Edgware Community Hospital</t>
  </si>
  <si>
    <t xml:space="preserve">Edgware</t>
  </si>
  <si>
    <t xml:space="preserve">HA8 0AD</t>
  </si>
  <si>
    <t xml:space="preserve">020 8952 2381</t>
  </si>
  <si>
    <t xml:space="preserve">RAN01</t>
  </si>
  <si>
    <t xml:space="preserve">The Royal National Orthopaedic Hospital (Stanmore)</t>
  </si>
  <si>
    <t xml:space="preserve">Royal National Orthopaedic Hospital NHS Trust</t>
  </si>
  <si>
    <t xml:space="preserve">Stanmore</t>
  </si>
  <si>
    <t xml:space="preserve">HA7 4LP</t>
  </si>
  <si>
    <t xml:space="preserve">020 3947 0100</t>
  </si>
  <si>
    <t xml:space="preserve">rnoh.enquiries-sm@nhs.net</t>
  </si>
  <si>
    <t xml:space="preserve">http://www.rnoh.nhs.uk</t>
  </si>
  <si>
    <t xml:space="preserve">RAN02</t>
  </si>
  <si>
    <t xml:space="preserve">Royal National Orthopaedic Hospital (Bolsover Street)</t>
  </si>
  <si>
    <t xml:space="preserve">W1W 5AQ</t>
  </si>
  <si>
    <t xml:space="preserve">RAPNM</t>
  </si>
  <si>
    <t xml:space="preserve">North Middlesex University Hospital</t>
  </si>
  <si>
    <t xml:space="preserve">North Middlesex University Hospital NHS Trust</t>
  </si>
  <si>
    <t xml:space="preserve">N18 1QX</t>
  </si>
  <si>
    <t xml:space="preserve">020 8887 2000</t>
  </si>
  <si>
    <t xml:space="preserve">http://www.northmid.nhs.uk</t>
  </si>
  <si>
    <t xml:space="preserve">RAS01</t>
  </si>
  <si>
    <t xml:space="preserve">Hillingdon Hospital</t>
  </si>
  <si>
    <t xml:space="preserve">The Hillingdon Hospitals NHS Foundation Trust</t>
  </si>
  <si>
    <t xml:space="preserve">Uxbridge</t>
  </si>
  <si>
    <t xml:space="preserve">UB8 3NN</t>
  </si>
  <si>
    <t xml:space="preserve">01895 238282</t>
  </si>
  <si>
    <t xml:space="preserve">https://www.thh.nhs.uk</t>
  </si>
  <si>
    <t xml:space="preserve">RAS02</t>
  </si>
  <si>
    <t xml:space="preserve">Mount Vernon Hospital</t>
  </si>
  <si>
    <t xml:space="preserve">HA6 2RN</t>
  </si>
  <si>
    <t xml:space="preserve">01923 826111</t>
  </si>
  <si>
    <t xml:space="preserve">RAX01</t>
  </si>
  <si>
    <t xml:space="preserve">Kingston Hospital</t>
  </si>
  <si>
    <t xml:space="preserve">Kingston Hospital NHS Foundation Trust</t>
  </si>
  <si>
    <t xml:space="preserve">Kingston Upon Thames</t>
  </si>
  <si>
    <t xml:space="preserve">KT2 7QB</t>
  </si>
  <si>
    <t xml:space="preserve">020 8546 7711</t>
  </si>
  <si>
    <t xml:space="preserve">khft.pals@nhs.net</t>
  </si>
  <si>
    <t xml:space="preserve">http://www.kingstonhospital.nhs.uk</t>
  </si>
  <si>
    <t xml:space="preserve">RBA11</t>
  </si>
  <si>
    <t xml:space="preserve">Musgrove Park Hospital</t>
  </si>
  <si>
    <t xml:space="preserve">Taunton and Somerset NHS Foundation Trust</t>
  </si>
  <si>
    <t xml:space="preserve">TA1 5DA</t>
  </si>
  <si>
    <t xml:space="preserve">01823 333444</t>
  </si>
  <si>
    <t xml:space="preserve">http://www.musgroveparkhospital.nhs.uk</t>
  </si>
  <si>
    <t xml:space="preserve">RBD01</t>
  </si>
  <si>
    <t xml:space="preserve">Dorset County Hospital</t>
  </si>
  <si>
    <t xml:space="preserve">Dorset County Hospital NHS Foundation Trust</t>
  </si>
  <si>
    <t xml:space="preserve">DT1 2JY</t>
  </si>
  <si>
    <t xml:space="preserve">01305 251150</t>
  </si>
  <si>
    <t xml:space="preserve">headquarters@dchft.nhs.uk</t>
  </si>
  <si>
    <t xml:space="preserve">http://www.dchft.nhs.uk</t>
  </si>
  <si>
    <t xml:space="preserve">RBK02</t>
  </si>
  <si>
    <t xml:space="preserve">Manor Hospital</t>
  </si>
  <si>
    <t xml:space="preserve">Walsall Healthcare NHS Trust</t>
  </si>
  <si>
    <t xml:space="preserve">Walsall</t>
  </si>
  <si>
    <t xml:space="preserve">WS2 9PS</t>
  </si>
  <si>
    <t xml:space="preserve">01922 721172</t>
  </si>
  <si>
    <t xml:space="preserve">contactus@walsallhealthcare.nhs.uk</t>
  </si>
  <si>
    <t xml:space="preserve">http://www.walsallhealthcare.nhs.uk</t>
  </si>
  <si>
    <t xml:space="preserve">RBL02</t>
  </si>
  <si>
    <t xml:space="preserve">Victoria Central Hospital</t>
  </si>
  <si>
    <t xml:space="preserve">Wirral University Teaching Hospital NHS Foundation Trust</t>
  </si>
  <si>
    <t xml:space="preserve">Wallasey</t>
  </si>
  <si>
    <t xml:space="preserve">CH44 5UF</t>
  </si>
  <si>
    <t xml:space="preserve">0151 678 5111</t>
  </si>
  <si>
    <t xml:space="preserve">wuth.patientexperience@nhs.net</t>
  </si>
  <si>
    <t xml:space="preserve">http://www.wuth.nhs.uk</t>
  </si>
  <si>
    <t xml:space="preserve">RBL14</t>
  </si>
  <si>
    <t xml:space="preserve">Arrowe Park Hospital</t>
  </si>
  <si>
    <t xml:space="preserve">CH49 5PE</t>
  </si>
  <si>
    <t xml:space="preserve">wih-tr.patientrelations@nhs.net</t>
  </si>
  <si>
    <t xml:space="preserve">RBL20</t>
  </si>
  <si>
    <t xml:space="preserve">Clatterbridge Hospital</t>
  </si>
  <si>
    <t xml:space="preserve">CH63 4JY</t>
  </si>
  <si>
    <t xml:space="preserve">0151 334 4000</t>
  </si>
  <si>
    <t xml:space="preserve">RBN01</t>
  </si>
  <si>
    <t xml:space="preserve">Whiston Hospital</t>
  </si>
  <si>
    <t xml:space="preserve">St Helens and Knowsley Hospitals NHS Trust</t>
  </si>
  <si>
    <t xml:space="preserve">Prescot</t>
  </si>
  <si>
    <t xml:space="preserve">L35 5DR</t>
  </si>
  <si>
    <t xml:space="preserve">0151 426 1600</t>
  </si>
  <si>
    <t xml:space="preserve">kim.hughes@sthk.nhs.uk</t>
  </si>
  <si>
    <t xml:space="preserve">http://www.sthk.nhs.uk</t>
  </si>
  <si>
    <t xml:space="preserve">RBN02</t>
  </si>
  <si>
    <t xml:space="preserve">St Helens Hospital</t>
  </si>
  <si>
    <t xml:space="preserve">WA9 3DA</t>
  </si>
  <si>
    <t xml:space="preserve">RBQHQ</t>
  </si>
  <si>
    <t xml:space="preserve">Liverpool Heart and Chest Hospital</t>
  </si>
  <si>
    <t xml:space="preserve">Liverpool Heart and Chest NHS Foundation Trust</t>
  </si>
  <si>
    <t xml:space="preserve">L14 3PE</t>
  </si>
  <si>
    <t xml:space="preserve">0151 600 1616</t>
  </si>
  <si>
    <t xml:space="preserve">http://www.lhch.nhs.uk</t>
  </si>
  <si>
    <t xml:space="preserve">RBS25</t>
  </si>
  <si>
    <t xml:space="preserve">Alder Hey Children's NHS Foundation Trust</t>
  </si>
  <si>
    <t xml:space="preserve">L12 2AP</t>
  </si>
  <si>
    <t xml:space="preserve">0151 228 4811</t>
  </si>
  <si>
    <t xml:space="preserve">http://www.alderhey.nhs.uk</t>
  </si>
  <si>
    <t xml:space="preserve">RBT20</t>
  </si>
  <si>
    <t xml:space="preserve">Leighton Hospital</t>
  </si>
  <si>
    <t xml:space="preserve">Mid Cheshire Hospitals NHS Foundation Trust</t>
  </si>
  <si>
    <t xml:space="preserve">Crewe</t>
  </si>
  <si>
    <t xml:space="preserve">CW1 4QJ</t>
  </si>
  <si>
    <t xml:space="preserve">01270 255141</t>
  </si>
  <si>
    <t xml:space="preserve">http://www.mchft.nhs.uk</t>
  </si>
  <si>
    <t xml:space="preserve">RBT21</t>
  </si>
  <si>
    <t xml:space="preserve">Victoria Infirmary (Northwich)</t>
  </si>
  <si>
    <t xml:space="preserve">Northwich</t>
  </si>
  <si>
    <t xml:space="preserve">CW8 1AW</t>
  </si>
  <si>
    <t xml:space="preserve">01606 564000</t>
  </si>
  <si>
    <t xml:space="preserve">http://www.mcht.nhs.uk</t>
  </si>
  <si>
    <t xml:space="preserve">RBV01</t>
  </si>
  <si>
    <t xml:space="preserve">The Christie main site</t>
  </si>
  <si>
    <t xml:space="preserve">The Christie NHS Foundation Trust</t>
  </si>
  <si>
    <t xml:space="preserve">M20 4BX</t>
  </si>
  <si>
    <t xml:space="preserve">0161 446 3000</t>
  </si>
  <si>
    <t xml:space="preserve">enquiries@christie.nhs.uk</t>
  </si>
  <si>
    <t xml:space="preserve">http://www.christie.nhs.uk</t>
  </si>
  <si>
    <t xml:space="preserve">RBZ12</t>
  </si>
  <si>
    <t xml:space="preserve">North Devon District Hospital</t>
  </si>
  <si>
    <t xml:space="preserve">Northern Devon Healthcare NHS Trust</t>
  </si>
  <si>
    <t xml:space="preserve">Barnstaple</t>
  </si>
  <si>
    <t xml:space="preserve">EX31 4JB</t>
  </si>
  <si>
    <t xml:space="preserve">01271 322577</t>
  </si>
  <si>
    <t xml:space="preserve">ndht.contactus@nhs.net</t>
  </si>
  <si>
    <t xml:space="preserve">http://www.northdevonhealth.nhs.uk</t>
  </si>
  <si>
    <t xml:space="preserve">RBZ91</t>
  </si>
  <si>
    <t xml:space="preserve">Ilfracombe Tyrrell Hospital</t>
  </si>
  <si>
    <t xml:space="preserve">Ilfracombe</t>
  </si>
  <si>
    <t xml:space="preserve">EX34 8JF</t>
  </si>
  <si>
    <t xml:space="preserve">01271 863 448</t>
  </si>
  <si>
    <t xml:space="preserve">http://www.northdevonhealth.nhs.uk/services/community/ilfracombe-tyrrell-hospital</t>
  </si>
  <si>
    <t xml:space="preserve">RBZ92</t>
  </si>
  <si>
    <t xml:space="preserve">Holsworthy Hospital</t>
  </si>
  <si>
    <t xml:space="preserve">Holsworthy</t>
  </si>
  <si>
    <t xml:space="preserve">EX22 6JQ</t>
  </si>
  <si>
    <t xml:space="preserve">01409 253 424</t>
  </si>
  <si>
    <t xml:space="preserve">http://www.northdevonhealth.nhs.uk/services/community/holsworthy-hospital</t>
  </si>
  <si>
    <t xml:space="preserve">RBZ95</t>
  </si>
  <si>
    <t xml:space="preserve">Bideford Hospital</t>
  </si>
  <si>
    <t xml:space="preserve">Bideford</t>
  </si>
  <si>
    <t xml:space="preserve">EX39 3AG</t>
  </si>
  <si>
    <t xml:space="preserve">01271 322 577</t>
  </si>
  <si>
    <t xml:space="preserve">http://www.northdevonhealth.nhs.uk/services/community/bideford-hospital</t>
  </si>
  <si>
    <t xml:space="preserve">RBZ98</t>
  </si>
  <si>
    <t xml:space="preserve">Torrington Hospital</t>
  </si>
  <si>
    <t xml:space="preserve">Torrington</t>
  </si>
  <si>
    <t xml:space="preserve">EX38 7BJ</t>
  </si>
  <si>
    <t xml:space="preserve">01805 622208</t>
  </si>
  <si>
    <t xml:space="preserve">http://www.northdevonhealth.nhs.uk/services/community/torrington</t>
  </si>
  <si>
    <t xml:space="preserve">RBZ99</t>
  </si>
  <si>
    <t xml:space="preserve">South Molton Hospital</t>
  </si>
  <si>
    <t xml:space="preserve">South Molton</t>
  </si>
  <si>
    <t xml:space="preserve">EX36 4DP</t>
  </si>
  <si>
    <t xml:space="preserve">01769 572 164</t>
  </si>
  <si>
    <t xml:space="preserve">http://www.northdevonhealth.nhs.uk/services/community/south-molton-hospital</t>
  </si>
  <si>
    <t xml:space="preserve">RC110</t>
  </si>
  <si>
    <t xml:space="preserve">Bedford Hospital South Wing</t>
  </si>
  <si>
    <t xml:space="preserve">Bedford Hospital NHS Trust</t>
  </si>
  <si>
    <t xml:space="preserve">MK42 9DJ</t>
  </si>
  <si>
    <t xml:space="preserve">01234 355 122</t>
  </si>
  <si>
    <t xml:space="preserve">communications@bedfordhospital.nhs.uk</t>
  </si>
  <si>
    <t xml:space="preserve">http://www.bedfordhospital.nhs.uk/index.asp</t>
  </si>
  <si>
    <t xml:space="preserve">RC111</t>
  </si>
  <si>
    <t xml:space="preserve">Bedford Hospital North Wing</t>
  </si>
  <si>
    <t xml:space="preserve">MK40 2NS</t>
  </si>
  <si>
    <t xml:space="preserve">https://www.bedfordhospital.nhs.uk/our-departments/clinical-departments/physiotherapy/out-patient-ph</t>
  </si>
  <si>
    <t xml:space="preserve">RC971</t>
  </si>
  <si>
    <t xml:space="preserve">Luton and Dunstable Hospital</t>
  </si>
  <si>
    <t xml:space="preserve">Luton and Dunstable University Hospital NHS Foundation Trust</t>
  </si>
  <si>
    <t xml:space="preserve">Luton</t>
  </si>
  <si>
    <t xml:space="preserve">LU4 0DZ</t>
  </si>
  <si>
    <t xml:space="preserve">01582 491166</t>
  </si>
  <si>
    <t xml:space="preserve">pals@ldh.nhs.uk</t>
  </si>
  <si>
    <t xml:space="preserve">https://www.ldh.nhs.uk</t>
  </si>
  <si>
    <t xml:space="preserve">RCB05</t>
  </si>
  <si>
    <t xml:space="preserve">St Monicas Hospital</t>
  </si>
  <si>
    <t xml:space="preserve">York Teaching Hospital NHS Foundation Trust</t>
  </si>
  <si>
    <t xml:space="preserve">YO61 3JD</t>
  </si>
  <si>
    <t xml:space="preserve">01347821214</t>
  </si>
  <si>
    <t xml:space="preserve">https://www.yorkhospitals.nhs.uk/our_hospitals/st_monicas_easingwold</t>
  </si>
  <si>
    <t xml:space="preserve">RCB55</t>
  </si>
  <si>
    <t xml:space="preserve">The York Hospital</t>
  </si>
  <si>
    <t xml:space="preserve">YO31 8HE</t>
  </si>
  <si>
    <t xml:space="preserve">01904 631 313</t>
  </si>
  <si>
    <t xml:space="preserve">http://www.york.nhs.uk</t>
  </si>
  <si>
    <t xml:space="preserve">RCBL8</t>
  </si>
  <si>
    <t xml:space="preserve">Malton, Norton &amp; District Hospital</t>
  </si>
  <si>
    <t xml:space="preserve">Malton</t>
  </si>
  <si>
    <t xml:space="preserve">YO17 7NG</t>
  </si>
  <si>
    <t xml:space="preserve">01653 693041</t>
  </si>
  <si>
    <t xml:space="preserve">RCBP9</t>
  </si>
  <si>
    <t xml:space="preserve">White Cross Rehabilitation Hospital</t>
  </si>
  <si>
    <t xml:space="preserve">YO31 8JR</t>
  </si>
  <si>
    <t xml:space="preserve">01904 724226</t>
  </si>
  <si>
    <t xml:space="preserve">RCBTV</t>
  </si>
  <si>
    <t xml:space="preserve">St Helens Rehabilitation Hospital</t>
  </si>
  <si>
    <t xml:space="preserve">YO24 1HD</t>
  </si>
  <si>
    <t xml:space="preserve">01904 724626</t>
  </si>
  <si>
    <t xml:space="preserve">RCD01</t>
  </si>
  <si>
    <t xml:space="preserve">Harrogate District Hospital</t>
  </si>
  <si>
    <t xml:space="preserve">Harrogate and District NHS Foundation Trust</t>
  </si>
  <si>
    <t xml:space="preserve">HG2 7SX</t>
  </si>
  <si>
    <t xml:space="preserve">01423 885959</t>
  </si>
  <si>
    <t xml:space="preserve">hello@hdft.nhs.uk</t>
  </si>
  <si>
    <t xml:space="preserve">http://www.hdft.nhs.uk</t>
  </si>
  <si>
    <t xml:space="preserve">RCD02</t>
  </si>
  <si>
    <t xml:space="preserve">Ripon and District Community Hospital</t>
  </si>
  <si>
    <t xml:space="preserve">Ripon</t>
  </si>
  <si>
    <t xml:space="preserve">HG4 2PR</t>
  </si>
  <si>
    <t xml:space="preserve">01423 542900</t>
  </si>
  <si>
    <t xml:space="preserve">RCD6D</t>
  </si>
  <si>
    <t xml:space="preserve">The New Selby War Memorial Hospital - Harrogate and District NHS Foundation Trust</t>
  </si>
  <si>
    <t xml:space="preserve">Selby</t>
  </si>
  <si>
    <t xml:space="preserve">YO8 9BX</t>
  </si>
  <si>
    <t xml:space="preserve">01904 724300</t>
  </si>
  <si>
    <t xml:space="preserve">RCF22</t>
  </si>
  <si>
    <t xml:space="preserve">Airedale General Hospital</t>
  </si>
  <si>
    <t xml:space="preserve">Airedale NHS Foundation Trust</t>
  </si>
  <si>
    <t xml:space="preserve">Keighley</t>
  </si>
  <si>
    <t xml:space="preserve">BD20 6TD</t>
  </si>
  <si>
    <t xml:space="preserve">01535 652511</t>
  </si>
  <si>
    <t xml:space="preserve">http://www.airedale-trust.nhs.uk</t>
  </si>
  <si>
    <t xml:space="preserve">RCF30</t>
  </si>
  <si>
    <t xml:space="preserve">Castleberg Hospital</t>
  </si>
  <si>
    <t xml:space="preserve">Settle</t>
  </si>
  <si>
    <t xml:space="preserve">BD24 0BN</t>
  </si>
  <si>
    <t xml:space="preserve">01729 823515</t>
  </si>
  <si>
    <t xml:space="preserve">personnel.dept@anhst.nhs.uk</t>
  </si>
  <si>
    <t xml:space="preserve">RCF31</t>
  </si>
  <si>
    <t xml:space="preserve">Skipton General Hospital</t>
  </si>
  <si>
    <t xml:space="preserve">Skipton</t>
  </si>
  <si>
    <t xml:space="preserve">BD23 2RJ</t>
  </si>
  <si>
    <t xml:space="preserve">01756 792233</t>
  </si>
  <si>
    <t xml:space="preserve">RCUEF</t>
  </si>
  <si>
    <t xml:space="preserve">Sheffield Children's Hospital</t>
  </si>
  <si>
    <t xml:space="preserve">Sheffield Children's NHS Foundation Trust</t>
  </si>
  <si>
    <t xml:space="preserve">S10 2TH</t>
  </si>
  <si>
    <t xml:space="preserve">0114 2717000</t>
  </si>
  <si>
    <t xml:space="preserve">sheffield.childrenshospital@sch.nhs.uk</t>
  </si>
  <si>
    <t xml:space="preserve">http://www.sheffieldchildrens.nhs.uk</t>
  </si>
  <si>
    <t xml:space="preserve">RCX70</t>
  </si>
  <si>
    <t xml:space="preserve">The Queen Elizabeth Hospital</t>
  </si>
  <si>
    <t xml:space="preserve">The Queen Elizabeth Hospital, King's Lynn. NHS Foundation Trust</t>
  </si>
  <si>
    <t xml:space="preserve">King's Lynn</t>
  </si>
  <si>
    <t xml:space="preserve">PE30 4ET</t>
  </si>
  <si>
    <t xml:space="preserve">01553 613 613</t>
  </si>
  <si>
    <t xml:space="preserve">http://www.qehkl.nhs.uk</t>
  </si>
  <si>
    <t xml:space="preserve">RD129</t>
  </si>
  <si>
    <t xml:space="preserve">Paulton Hospital</t>
  </si>
  <si>
    <t xml:space="preserve">Royal United Hospitals Bath NHS Foundation Trust</t>
  </si>
  <si>
    <t xml:space="preserve">BS39 7SB</t>
  </si>
  <si>
    <t xml:space="preserve">01761 412315</t>
  </si>
  <si>
    <t xml:space="preserve">RD130</t>
  </si>
  <si>
    <t xml:space="preserve">Royal United Hospitals, Bath</t>
  </si>
  <si>
    <t xml:space="preserve">BA1 3NG</t>
  </si>
  <si>
    <t xml:space="preserve">01225 428331</t>
  </si>
  <si>
    <t xml:space="preserve">webmaster@ruh.nhs.uk</t>
  </si>
  <si>
    <t xml:space="preserve">http://www.ruh.nhs.uk</t>
  </si>
  <si>
    <t xml:space="preserve">RD304</t>
  </si>
  <si>
    <t xml:space="preserve">Poole Hospital</t>
  </si>
  <si>
    <t xml:space="preserve">Poole Hospital NHS Foundation Trust</t>
  </si>
  <si>
    <t xml:space="preserve">BH15 2JB</t>
  </si>
  <si>
    <t xml:space="preserve">01202 665511</t>
  </si>
  <si>
    <t xml:space="preserve">http://www.poole.nhs.uk</t>
  </si>
  <si>
    <t xml:space="preserve">RD816</t>
  </si>
  <si>
    <t xml:space="preserve">Milton Keynes Hospital</t>
  </si>
  <si>
    <t xml:space="preserve">Milton Keynes University Hospital NHS Foundation Trust</t>
  </si>
  <si>
    <t xml:space="preserve">MK6 5LD</t>
  </si>
  <si>
    <t xml:space="preserve">01908 660033</t>
  </si>
  <si>
    <t xml:space="preserve">http://www.mkuh.nhs.uk</t>
  </si>
  <si>
    <t xml:space="preserve">RDEE4</t>
  </si>
  <si>
    <t xml:space="preserve">Colchester General Hospital</t>
  </si>
  <si>
    <t xml:space="preserve">East Suffolk and North Essex NHS Foundation Trust</t>
  </si>
  <si>
    <t xml:space="preserve">CO4 5JL</t>
  </si>
  <si>
    <t xml:space="preserve">01206 747474</t>
  </si>
  <si>
    <t xml:space="preserve">communications@colchesterhospital.nhs.uk</t>
  </si>
  <si>
    <t xml:space="preserve">https://www.esneft.nhs.uk</t>
  </si>
  <si>
    <t xml:space="preserve">RDEEB</t>
  </si>
  <si>
    <t xml:space="preserve">Essex County Hospital</t>
  </si>
  <si>
    <t xml:space="preserve">CO3 3NB</t>
  </si>
  <si>
    <t xml:space="preserve">info@colchesterhospital.nhs.uk</t>
  </si>
  <si>
    <t xml:space="preserve">http://www.colchesterhospital.nhs.uk</t>
  </si>
  <si>
    <t xml:space="preserve">RDEEK</t>
  </si>
  <si>
    <t xml:space="preserve">Halstead Hospital</t>
  </si>
  <si>
    <t xml:space="preserve">Halstead</t>
  </si>
  <si>
    <t xml:space="preserve">CO9 2DL</t>
  </si>
  <si>
    <t xml:space="preserve">01787 291022</t>
  </si>
  <si>
    <t xml:space="preserve">http://www.midessex.nhs.uk</t>
  </si>
  <si>
    <t xml:space="preserve">RDR2V</t>
  </si>
  <si>
    <t xml:space="preserve">Bognor Regis War Memorial Hospital</t>
  </si>
  <si>
    <t xml:space="preserve">Sussex Community NHS Foundation Trust</t>
  </si>
  <si>
    <t xml:space="preserve">Bognor Regis</t>
  </si>
  <si>
    <t xml:space="preserve">PO22 9PP</t>
  </si>
  <si>
    <t xml:space="preserve">01243 865418</t>
  </si>
  <si>
    <t xml:space="preserve">http://www.sussexcommunity.nhs.uk/services/locations/bognor_regis_hospital.htm</t>
  </si>
  <si>
    <t xml:space="preserve">RDU01</t>
  </si>
  <si>
    <t xml:space="preserve">Frimley Park Hospital</t>
  </si>
  <si>
    <t xml:space="preserve">Frimley Health NHS Foundation Trust</t>
  </si>
  <si>
    <t xml:space="preserve">Camberley</t>
  </si>
  <si>
    <t xml:space="preserve">GU16 7UJ</t>
  </si>
  <si>
    <t xml:space="preserve">0300 6145000</t>
  </si>
  <si>
    <t xml:space="preserve">https://www.fhft.nhs.uk</t>
  </si>
  <si>
    <t xml:space="preserve">RDY10</t>
  </si>
  <si>
    <t xml:space="preserve">St Ann's Hospital</t>
  </si>
  <si>
    <t xml:space="preserve">BH13 7LN</t>
  </si>
  <si>
    <t xml:space="preserve">01202 708881</t>
  </si>
  <si>
    <t xml:space="preserve">http://www.dorsethealthcare.nhs.uk</t>
  </si>
  <si>
    <t xml:space="preserve">RDYFX</t>
  </si>
  <si>
    <t xml:space="preserve">Nightingale House/Court/Florence House</t>
  </si>
  <si>
    <t xml:space="preserve">BH4 8EW</t>
  </si>
  <si>
    <t xml:space="preserve">01202 584301</t>
  </si>
  <si>
    <t xml:space="preserve">RDY22</t>
  </si>
  <si>
    <t xml:space="preserve">Alderney Hospital</t>
  </si>
  <si>
    <t xml:space="preserve">BH12 4NB</t>
  </si>
  <si>
    <t xml:space="preserve">01202 735537</t>
  </si>
  <si>
    <t xml:space="preserve">RDY32</t>
  </si>
  <si>
    <t xml:space="preserve">Kimmeridge Court</t>
  </si>
  <si>
    <t xml:space="preserve">01202 492147</t>
  </si>
  <si>
    <t xml:space="preserve">RDY38</t>
  </si>
  <si>
    <t xml:space="preserve">Fairmile House</t>
  </si>
  <si>
    <t xml:space="preserve">Christchurch</t>
  </si>
  <si>
    <t xml:space="preserve">BH23 2JT</t>
  </si>
  <si>
    <t xml:space="preserve">01202 858100</t>
  </si>
  <si>
    <t xml:space="preserve">RDYMR</t>
  </si>
  <si>
    <t xml:space="preserve">Pebble Lodge</t>
  </si>
  <si>
    <t xml:space="preserve">01202 545400</t>
  </si>
  <si>
    <t xml:space="preserve">https://camhsdorset.org</t>
  </si>
  <si>
    <t xml:space="preserve">RDYCV</t>
  </si>
  <si>
    <t xml:space="preserve">Oakcroft</t>
  </si>
  <si>
    <t xml:space="preserve">Wimborne</t>
  </si>
  <si>
    <t xml:space="preserve">BH21 1RR</t>
  </si>
  <si>
    <t xml:space="preserve">01202 848547</t>
  </si>
  <si>
    <t xml:space="preserve">http://www.wheresyourheadat.co.uk</t>
  </si>
  <si>
    <t xml:space="preserve">RDYEF</t>
  </si>
  <si>
    <t xml:space="preserve">Weymouth Community Hospital</t>
  </si>
  <si>
    <t xml:space="preserve">Weymouth</t>
  </si>
  <si>
    <t xml:space="preserve">DT4 7TB</t>
  </si>
  <si>
    <t xml:space="preserve">01305 760022</t>
  </si>
  <si>
    <t xml:space="preserve">https://www.dorsethealthcare.nhs.uk/patients-and-visitors/our-services-hospitals/community-hospitals</t>
  </si>
  <si>
    <t xml:space="preserve">RDYEG</t>
  </si>
  <si>
    <t xml:space="preserve">Westhaven Hospital</t>
  </si>
  <si>
    <t xml:space="preserve">DT4 0QE</t>
  </si>
  <si>
    <t xml:space="preserve">01305 786116</t>
  </si>
  <si>
    <t xml:space="preserve">RDYEH</t>
  </si>
  <si>
    <t xml:space="preserve">Portland Hospital</t>
  </si>
  <si>
    <t xml:space="preserve">Portland</t>
  </si>
  <si>
    <t xml:space="preserve">DT5 1AX</t>
  </si>
  <si>
    <t xml:space="preserve">01305 820341</t>
  </si>
  <si>
    <t xml:space="preserve">RDYEJ</t>
  </si>
  <si>
    <t xml:space="preserve">Bridport Community Hospital</t>
  </si>
  <si>
    <t xml:space="preserve">Bridport</t>
  </si>
  <si>
    <t xml:space="preserve">DT6 5DR</t>
  </si>
  <si>
    <t xml:space="preserve">01308 422371</t>
  </si>
  <si>
    <t xml:space="preserve">RDYER</t>
  </si>
  <si>
    <t xml:space="preserve">Blandford Community Hospital</t>
  </si>
  <si>
    <t xml:space="preserve">Blandford Forum</t>
  </si>
  <si>
    <t xml:space="preserve">DT11 7DD</t>
  </si>
  <si>
    <t xml:space="preserve">01258 456541</t>
  </si>
  <si>
    <t xml:space="preserve">RDYEY</t>
  </si>
  <si>
    <t xml:space="preserve">Westminster Memorial Hospital</t>
  </si>
  <si>
    <t xml:space="preserve">Shaftesbury</t>
  </si>
  <si>
    <t xml:space="preserve">SP7 8BD</t>
  </si>
  <si>
    <t xml:space="preserve">01747 851535</t>
  </si>
  <si>
    <t xml:space="preserve">RDYFC</t>
  </si>
  <si>
    <t xml:space="preserve">Yeatman Hospital</t>
  </si>
  <si>
    <t xml:space="preserve">Sherborne</t>
  </si>
  <si>
    <t xml:space="preserve">DT9 3JU</t>
  </si>
  <si>
    <t xml:space="preserve">01935 813991</t>
  </si>
  <si>
    <t xml:space="preserve">RDYFD</t>
  </si>
  <si>
    <t xml:space="preserve">Wareham Community Hospital</t>
  </si>
  <si>
    <t xml:space="preserve">Wareham</t>
  </si>
  <si>
    <t xml:space="preserve">BH20 4QQ</t>
  </si>
  <si>
    <t xml:space="preserve">01929 552433</t>
  </si>
  <si>
    <t xml:space="preserve">RDYFE</t>
  </si>
  <si>
    <t xml:space="preserve">Victoria Hospital</t>
  </si>
  <si>
    <t xml:space="preserve">BH21 1ER</t>
  </si>
  <si>
    <t xml:space="preserve">01202 856410</t>
  </si>
  <si>
    <t xml:space="preserve">RDYFF</t>
  </si>
  <si>
    <t xml:space="preserve">Swanage Community Hospital</t>
  </si>
  <si>
    <t xml:space="preserve">Swanage</t>
  </si>
  <si>
    <t xml:space="preserve">BH19 2ES</t>
  </si>
  <si>
    <t xml:space="preserve">01929 422282</t>
  </si>
  <si>
    <t xml:space="preserve">RDYFG</t>
  </si>
  <si>
    <t xml:space="preserve">St Leonards Community Hospital (Dorset)</t>
  </si>
  <si>
    <t xml:space="preserve">Ringwood</t>
  </si>
  <si>
    <t xml:space="preserve">BH24 2RR</t>
  </si>
  <si>
    <t xml:space="preserve">01202 584200</t>
  </si>
  <si>
    <t xml:space="preserve">RDZ05</t>
  </si>
  <si>
    <t xml:space="preserve">Christchurch Hospital</t>
  </si>
  <si>
    <t xml:space="preserve">The Royal Bournemouth and Christchurch Hospitals NHS Foundation Trust</t>
  </si>
  <si>
    <t xml:space="preserve">BH23 2JX</t>
  </si>
  <si>
    <t xml:space="preserve">01202 486361</t>
  </si>
  <si>
    <t xml:space="preserve">webmaster@rbch.nhs.uk</t>
  </si>
  <si>
    <t xml:space="preserve">http://www.rbch.nhs.uk</t>
  </si>
  <si>
    <t xml:space="preserve">RDZ20</t>
  </si>
  <si>
    <t xml:space="preserve">Royal Bournemouth Hospital</t>
  </si>
  <si>
    <t xml:space="preserve">BH7 7DW</t>
  </si>
  <si>
    <t xml:space="preserve">01202 303626</t>
  </si>
  <si>
    <t xml:space="preserve">communications@rbch.nhs.uk</t>
  </si>
  <si>
    <t xml:space="preserve">RE906</t>
  </si>
  <si>
    <t xml:space="preserve">Elmville Unit at Monkton Hall</t>
  </si>
  <si>
    <t xml:space="preserve">South Tyneside NHS Foundation Trust</t>
  </si>
  <si>
    <t xml:space="preserve">Jarrow</t>
  </si>
  <si>
    <t xml:space="preserve">NE32 5NN</t>
  </si>
  <si>
    <t xml:space="preserve">0191 2832583</t>
  </si>
  <si>
    <t xml:space="preserve">RE9GA</t>
  </si>
  <si>
    <t xml:space="preserve">South Tyneside District Hospital</t>
  </si>
  <si>
    <t xml:space="preserve">South Shields</t>
  </si>
  <si>
    <t xml:space="preserve">NE34 0PL</t>
  </si>
  <si>
    <t xml:space="preserve">0191 404 1000</t>
  </si>
  <si>
    <t xml:space="preserve">chris.morgan@stft.nhs.uk</t>
  </si>
  <si>
    <t xml:space="preserve">http://www.stft.nhs.uk</t>
  </si>
  <si>
    <t xml:space="preserve">RE9GC</t>
  </si>
  <si>
    <t xml:space="preserve">Primrose Hill Hospital</t>
  </si>
  <si>
    <t xml:space="preserve">NE32 5HA</t>
  </si>
  <si>
    <t xml:space="preserve">0191 451 6375</t>
  </si>
  <si>
    <t xml:space="preserve">chris.morgan@sthct.nhs.uk</t>
  </si>
  <si>
    <t xml:space="preserve">http://www.sthct.nhs.uk</t>
  </si>
  <si>
    <t xml:space="preserve">RE9GF</t>
  </si>
  <si>
    <t xml:space="preserve">Palmer Community Hospital</t>
  </si>
  <si>
    <t xml:space="preserve">NE32 3UX</t>
  </si>
  <si>
    <t xml:space="preserve">0191 402 8000</t>
  </si>
  <si>
    <t xml:space="preserve">REF01</t>
  </si>
  <si>
    <t xml:space="preserve">West Cornwall Hospital (Penzance)</t>
  </si>
  <si>
    <t xml:space="preserve">Royal Cornwall Hospitals NHS Trust</t>
  </si>
  <si>
    <t xml:space="preserve">Penzance</t>
  </si>
  <si>
    <t xml:space="preserve">TR18 2PF</t>
  </si>
  <si>
    <t xml:space="preserve">01736 874000</t>
  </si>
  <si>
    <t xml:space="preserve">rcht.patientexperience@nhs.net</t>
  </si>
  <si>
    <t xml:space="preserve">http://www.royalcornwall.nhs.uk</t>
  </si>
  <si>
    <t xml:space="preserve">REF02</t>
  </si>
  <si>
    <t xml:space="preserve">Hayle</t>
  </si>
  <si>
    <t xml:space="preserve">TR27 4JA</t>
  </si>
  <si>
    <t xml:space="preserve">01736 758854</t>
  </si>
  <si>
    <t xml:space="preserve">REF12</t>
  </si>
  <si>
    <t xml:space="preserve">Royal Cornwall Hospital (Treliske)</t>
  </si>
  <si>
    <t xml:space="preserve">TR1 3LQ</t>
  </si>
  <si>
    <t xml:space="preserve">01872 250000</t>
  </si>
  <si>
    <t xml:space="preserve">REM21</t>
  </si>
  <si>
    <t xml:space="preserve">Aintree University Hospital</t>
  </si>
  <si>
    <t xml:space="preserve">Liverpool University Hospitals NHS Foundation Trust</t>
  </si>
  <si>
    <t xml:space="preserve">L9 7AL</t>
  </si>
  <si>
    <t xml:space="preserve">0151 525 5980</t>
  </si>
  <si>
    <t xml:space="preserve">http://www.aintreehospital.nhs.uk</t>
  </si>
  <si>
    <t xml:space="preserve">REMRQ</t>
  </si>
  <si>
    <t xml:space="preserve">Royal Liverpool University Hospital</t>
  </si>
  <si>
    <t xml:space="preserve">L7 8XP</t>
  </si>
  <si>
    <t xml:space="preserve">REP01</t>
  </si>
  <si>
    <t xml:space="preserve">Liverpool Women's NHS Foundation Trust</t>
  </si>
  <si>
    <t xml:space="preserve">L8 7SS</t>
  </si>
  <si>
    <t xml:space="preserve">0151 708 9988</t>
  </si>
  <si>
    <t xml:space="preserve">http://www.liverpoolwomens.nhs.uk</t>
  </si>
  <si>
    <t xml:space="preserve">RET20</t>
  </si>
  <si>
    <t xml:space="preserve">The Walton Centre</t>
  </si>
  <si>
    <t xml:space="preserve">The Walton Centre NHS Foundation Trust</t>
  </si>
  <si>
    <t xml:space="preserve">L9 7LJ</t>
  </si>
  <si>
    <t xml:space="preserve">0151 525 3611</t>
  </si>
  <si>
    <t xml:space="preserve">enquiries@thewaltoncentre.nhs.uk</t>
  </si>
  <si>
    <t xml:space="preserve">http://www.thewaltoncentre.nhs.uk</t>
  </si>
  <si>
    <t xml:space="preserve">RF4DG</t>
  </si>
  <si>
    <t xml:space="preserve">King George Hospital</t>
  </si>
  <si>
    <t xml:space="preserve">Barking, Havering and Redbridge University Hospitals NHS Trust</t>
  </si>
  <si>
    <t xml:space="preserve">0330 400 4333</t>
  </si>
  <si>
    <t xml:space="preserve">http://www.bhrhospitals.nhs.uk</t>
  </si>
  <si>
    <t xml:space="preserve">RF4QH</t>
  </si>
  <si>
    <t xml:space="preserve">Queen's Hospital</t>
  </si>
  <si>
    <t xml:space="preserve">Romford</t>
  </si>
  <si>
    <t xml:space="preserve">RM7 0AG</t>
  </si>
  <si>
    <t xml:space="preserve">01708 435000</t>
  </si>
  <si>
    <t xml:space="preserve">RFFAA</t>
  </si>
  <si>
    <t xml:space="preserve">Barnsley Hospital</t>
  </si>
  <si>
    <t xml:space="preserve">Barnsley Hospital NHS Foundation Trust</t>
  </si>
  <si>
    <t xml:space="preserve">Barnsley</t>
  </si>
  <si>
    <t xml:space="preserve">Yorkshire</t>
  </si>
  <si>
    <t xml:space="preserve">S75 2EP</t>
  </si>
  <si>
    <t xml:space="preserve">01226 730000</t>
  </si>
  <si>
    <t xml:space="preserve">http://www.barnsleyhospital.nhs.uk</t>
  </si>
  <si>
    <t xml:space="preserve">RFRPA</t>
  </si>
  <si>
    <t xml:space="preserve">Rotherham Hospital</t>
  </si>
  <si>
    <t xml:space="preserve">The Rotherham NHS Foundation Trust</t>
  </si>
  <si>
    <t xml:space="preserve">Rotherham</t>
  </si>
  <si>
    <t xml:space="preserve">S60 2UD</t>
  </si>
  <si>
    <t xml:space="preserve">01709 82 0000</t>
  </si>
  <si>
    <t xml:space="preserve">communication@rothgen.nhs.uk</t>
  </si>
  <si>
    <t xml:space="preserve">http://www.therotherhamft.nhs.uk</t>
  </si>
  <si>
    <t xml:space="preserve">RFSDA</t>
  </si>
  <si>
    <t xml:space="preserve">Chesterfield Royal Hospital</t>
  </si>
  <si>
    <t xml:space="preserve">Chesterfield Royal Hospital NHS Foundation Trust</t>
  </si>
  <si>
    <t xml:space="preserve">Chesterfield</t>
  </si>
  <si>
    <t xml:space="preserve">S44 5BL</t>
  </si>
  <si>
    <t xml:space="preserve">01246 277271</t>
  </si>
  <si>
    <t xml:space="preserve">crhft.communications@nhs.net</t>
  </si>
  <si>
    <t xml:space="preserve">http://www.chesterfieldroyal.nhs.uk</t>
  </si>
  <si>
    <t xml:space="preserve">RGD05</t>
  </si>
  <si>
    <t xml:space="preserve">The Mount</t>
  </si>
  <si>
    <t xml:space="preserve">Leeds and York Partnership NHS Foundation Trust</t>
  </si>
  <si>
    <t xml:space="preserve">LS2 9LN</t>
  </si>
  <si>
    <t xml:space="preserve">0113 855 5000</t>
  </si>
  <si>
    <t xml:space="preserve">pals.lypft@nhs.net</t>
  </si>
  <si>
    <t xml:space="preserve">http://www.leedsandyorkpft.nhs.uk</t>
  </si>
  <si>
    <t xml:space="preserve">RGD17</t>
  </si>
  <si>
    <t xml:space="preserve">St Mary's Hospital</t>
  </si>
  <si>
    <t xml:space="preserve">LS12 3QE</t>
  </si>
  <si>
    <t xml:space="preserve">http://www.leedsandyorkpft.nhs.uk/home</t>
  </si>
  <si>
    <t xml:space="preserve">RGDAB</t>
  </si>
  <si>
    <t xml:space="preserve">Newsam Centre</t>
  </si>
  <si>
    <t xml:space="preserve">LS14 6WB</t>
  </si>
  <si>
    <t xml:space="preserve">0113 855 6300</t>
  </si>
  <si>
    <t xml:space="preserve">RGDBL</t>
  </si>
  <si>
    <t xml:space="preserve">Becklin Centre</t>
  </si>
  <si>
    <t xml:space="preserve">LS9 7BE</t>
  </si>
  <si>
    <t xml:space="preserve">RGM21</t>
  </si>
  <si>
    <t xml:space="preserve">Royal Papworth Hospital</t>
  </si>
  <si>
    <t xml:space="preserve">Royal Papworth Hospital NHS Foundation Trust</t>
  </si>
  <si>
    <t xml:space="preserve">CB2 0AY</t>
  </si>
  <si>
    <t xml:space="preserve">01223 638000</t>
  </si>
  <si>
    <t xml:space="preserve">papworth.communications@nhs.net</t>
  </si>
  <si>
    <t xml:space="preserve">https://royalpapworth.nhs.uk/our-hospital/getting-here</t>
  </si>
  <si>
    <t xml:space="preserve">RGN49</t>
  </si>
  <si>
    <t xml:space="preserve">Stamford and Rutland Hospital</t>
  </si>
  <si>
    <t xml:space="preserve">North West Anglia NHS Foundation Trust</t>
  </si>
  <si>
    <t xml:space="preserve">Stamford</t>
  </si>
  <si>
    <t xml:space="preserve">PE9 1UA</t>
  </si>
  <si>
    <t xml:space="preserve">01733 678000</t>
  </si>
  <si>
    <t xml:space="preserve">http://www.peterboroughandstamford.nhs.uk</t>
  </si>
  <si>
    <t xml:space="preserve">RGN80</t>
  </si>
  <si>
    <t xml:space="preserve">Peterborough City Hospital</t>
  </si>
  <si>
    <t xml:space="preserve">PE3 9GZ</t>
  </si>
  <si>
    <t xml:space="preserve">https://www.nwangliaft.nhs.uk</t>
  </si>
  <si>
    <t xml:space="preserve">RGP75</t>
  </si>
  <si>
    <t xml:space="preserve">James Paget University Hospital</t>
  </si>
  <si>
    <t xml:space="preserve">James Paget University Hospitals NHS Foundation Trust</t>
  </si>
  <si>
    <t xml:space="preserve">Great Yarmouth</t>
  </si>
  <si>
    <t xml:space="preserve">NR31 6LA</t>
  </si>
  <si>
    <t xml:space="preserve">01493 452452</t>
  </si>
  <si>
    <t xml:space="preserve">pals@jpaget.nhs.uk</t>
  </si>
  <si>
    <t xml:space="preserve">http://www.jpaget.nhs.uk</t>
  </si>
  <si>
    <t xml:space="preserve">RGR50</t>
  </si>
  <si>
    <t xml:space="preserve">West Suffolk Hospital</t>
  </si>
  <si>
    <t xml:space="preserve">West Suffolk NHS Foundation Trust</t>
  </si>
  <si>
    <t xml:space="preserve">IP33 2QZ</t>
  </si>
  <si>
    <t xml:space="preserve">01284 713000</t>
  </si>
  <si>
    <t xml:space="preserve">http://www.wsh.nhs.uk</t>
  </si>
  <si>
    <t xml:space="preserve">RGT01</t>
  </si>
  <si>
    <t xml:space="preserve">Addenbrooke's</t>
  </si>
  <si>
    <t xml:space="preserve">Cambridge University Hospitals NHS Foundation Trust</t>
  </si>
  <si>
    <t xml:space="preserve">CB2 0QQ</t>
  </si>
  <si>
    <t xml:space="preserve">01223 245151</t>
  </si>
  <si>
    <t xml:space="preserve">contactcentre@addenbrookes.nhs.uk</t>
  </si>
  <si>
    <t xml:space="preserve">https://www.cuh.nhs.uk/addenbrookes-hospital</t>
  </si>
  <si>
    <t xml:space="preserve">RGT32</t>
  </si>
  <si>
    <t xml:space="preserve">Rosie Hospital</t>
  </si>
  <si>
    <t xml:space="preserve">01223 245 151</t>
  </si>
  <si>
    <t xml:space="preserve">https://www.cuh.nhs.uk/rosie-hospital</t>
  </si>
  <si>
    <t xml:space="preserve">RGT49</t>
  </si>
  <si>
    <t xml:space="preserve">Royston Hospital</t>
  </si>
  <si>
    <t xml:space="preserve">SG8 9EN</t>
  </si>
  <si>
    <t xml:space="preserve">RGT50</t>
  </si>
  <si>
    <t xml:space="preserve">Saffron Walden Community Hospital</t>
  </si>
  <si>
    <t xml:space="preserve">Saffron Walden</t>
  </si>
  <si>
    <t xml:space="preserve">CB11 3HY</t>
  </si>
  <si>
    <t xml:space="preserve">RH5F1</t>
  </si>
  <si>
    <t xml:space="preserve">Wellington Community Hospital</t>
  </si>
  <si>
    <t xml:space="preserve">Wellington</t>
  </si>
  <si>
    <t xml:space="preserve">TA21 8QQ</t>
  </si>
  <si>
    <t xml:space="preserve">01823 662663</t>
  </si>
  <si>
    <t xml:space="preserve">http://www.sompar.nhs.uk/our_services/adult_services/hospitals/wellington_hospital</t>
  </si>
  <si>
    <t xml:space="preserve">RH5F2</t>
  </si>
  <si>
    <t xml:space="preserve">Chard Community Hospital</t>
  </si>
  <si>
    <t xml:space="preserve">Chard</t>
  </si>
  <si>
    <t xml:space="preserve">TA20 1NF</t>
  </si>
  <si>
    <t xml:space="preserve">01460 238220</t>
  </si>
  <si>
    <t xml:space="preserve">http://www.sompar.nhs.uk/what-we-do/community-hospitals</t>
  </si>
  <si>
    <t xml:space="preserve">RH5F5</t>
  </si>
  <si>
    <t xml:space="preserve">Minehead Community Hospital</t>
  </si>
  <si>
    <t xml:space="preserve">Minehead</t>
  </si>
  <si>
    <t xml:space="preserve">TA24 6DF</t>
  </si>
  <si>
    <t xml:space="preserve">01643 701701</t>
  </si>
  <si>
    <t xml:space="preserve">http://www.sompar.nhs.uk/our_services/adult_services/hospitals/minehead_hospital</t>
  </si>
  <si>
    <t xml:space="preserve">RH5F6</t>
  </si>
  <si>
    <t xml:space="preserve">Williton Community Hospital</t>
  </si>
  <si>
    <t xml:space="preserve">TA4 4RA</t>
  </si>
  <si>
    <t xml:space="preserve">01984 635600</t>
  </si>
  <si>
    <t xml:space="preserve">http://www.sompar.nhs.uk/our_services/adult_services/hospitals/williton_hospital</t>
  </si>
  <si>
    <t xml:space="preserve">RH5F7</t>
  </si>
  <si>
    <t xml:space="preserve">Shepton Mallet Community Hospital</t>
  </si>
  <si>
    <t xml:space="preserve">Shepton Mallet</t>
  </si>
  <si>
    <t xml:space="preserve">BA4 4PG</t>
  </si>
  <si>
    <t xml:space="preserve">01749 342931</t>
  </si>
  <si>
    <t xml:space="preserve">http://www.sompar.nhs.uk/our_services/adult_services/hospitals/shepton_mallet_hospital</t>
  </si>
  <si>
    <t xml:space="preserve">RH5F8</t>
  </si>
  <si>
    <t xml:space="preserve">West Mendip Community Hospital</t>
  </si>
  <si>
    <t xml:space="preserve">Glastonbury</t>
  </si>
  <si>
    <t xml:space="preserve">BA6 8JD</t>
  </si>
  <si>
    <t xml:space="preserve">01458 836450</t>
  </si>
  <si>
    <t xml:space="preserve">http://www.sompar.nhs.uk/our_services/adult_services/hospitals/west_mendip_hospital</t>
  </si>
  <si>
    <t xml:space="preserve">RH5F9</t>
  </si>
  <si>
    <t xml:space="preserve">Crewkerne Community Hospital</t>
  </si>
  <si>
    <t xml:space="preserve">Crewkerne</t>
  </si>
  <si>
    <t xml:space="preserve">TA18 8BG</t>
  </si>
  <si>
    <t xml:space="preserve">01460 72491</t>
  </si>
  <si>
    <t xml:space="preserve">http://www.sompar.nhs.uk/our_services/adult_services/hospitals/crewkerne_hospital</t>
  </si>
  <si>
    <t xml:space="preserve">RH5G1</t>
  </si>
  <si>
    <t xml:space="preserve">South Petherton Community Hospital</t>
  </si>
  <si>
    <t xml:space="preserve">South Petherton</t>
  </si>
  <si>
    <t xml:space="preserve">TA13 5EF</t>
  </si>
  <si>
    <t xml:space="preserve">01460 243000</t>
  </si>
  <si>
    <t xml:space="preserve">http://www.sompar.nhs.uk/our_services/adult_services/hospitals/south_petherton_hospital</t>
  </si>
  <si>
    <t xml:space="preserve">RH5G2</t>
  </si>
  <si>
    <t xml:space="preserve">Wincanton Community Hospital</t>
  </si>
  <si>
    <t xml:space="preserve">Wincanton</t>
  </si>
  <si>
    <t xml:space="preserve">BA9 9DQ</t>
  </si>
  <si>
    <t xml:space="preserve">01963 828444</t>
  </si>
  <si>
    <t xml:space="preserve">http://www.sompar.nhs.uk/our_services/adult_services/hospitals/wincanton_hospital</t>
  </si>
  <si>
    <t xml:space="preserve">RH5G3</t>
  </si>
  <si>
    <t xml:space="preserve">Dene Barton Community Hospital</t>
  </si>
  <si>
    <t xml:space="preserve">TA4 1DD</t>
  </si>
  <si>
    <t xml:space="preserve">01823 431930</t>
  </si>
  <si>
    <t xml:space="preserve">http://www.sompar.nhs.uk/our_services/adult_services/hospitals/dene_barton_hospital</t>
  </si>
  <si>
    <t xml:space="preserve">RH5G5</t>
  </si>
  <si>
    <t xml:space="preserve">Frome Community Hospital</t>
  </si>
  <si>
    <t xml:space="preserve">Frome</t>
  </si>
  <si>
    <t xml:space="preserve">BA11 2FH</t>
  </si>
  <si>
    <t xml:space="preserve">01373 454740</t>
  </si>
  <si>
    <t xml:space="preserve">http://www.sompar.nhs.uk/our_services/adult_services/hospitals/frome_hospital</t>
  </si>
  <si>
    <t xml:space="preserve">RH801</t>
  </si>
  <si>
    <t xml:space="preserve">Royal Devon and Exeter Hospital (Wonford)</t>
  </si>
  <si>
    <t xml:space="preserve">EX2 5DW</t>
  </si>
  <si>
    <t xml:space="preserve">01392 411 611</t>
  </si>
  <si>
    <t xml:space="preserve">rde-tr.pals@nhs.net</t>
  </si>
  <si>
    <t xml:space="preserve">http://www.rdehospital.nhs.uk</t>
  </si>
  <si>
    <t xml:space="preserve">RH802</t>
  </si>
  <si>
    <t xml:space="preserve">Heavitree Hospital</t>
  </si>
  <si>
    <t xml:space="preserve">EX1 2ED</t>
  </si>
  <si>
    <t xml:space="preserve">https://www.rdehospital.nhs.uk</t>
  </si>
  <si>
    <t xml:space="preserve">RH833</t>
  </si>
  <si>
    <t xml:space="preserve">Okehampton Community Hospital</t>
  </si>
  <si>
    <t xml:space="preserve">Okehampton</t>
  </si>
  <si>
    <t xml:space="preserve">EX20 1PN</t>
  </si>
  <si>
    <t xml:space="preserve">01837 658000</t>
  </si>
  <si>
    <t xml:space="preserve">RH834</t>
  </si>
  <si>
    <t xml:space="preserve">Ottery St Mary Hospital</t>
  </si>
  <si>
    <t xml:space="preserve">Ottery St Mary</t>
  </si>
  <si>
    <t xml:space="preserve">EX11 1DN</t>
  </si>
  <si>
    <t xml:space="preserve">01404 816 000</t>
  </si>
  <si>
    <t xml:space="preserve">RH853</t>
  </si>
  <si>
    <t xml:space="preserve">Tiverton and District Hospital</t>
  </si>
  <si>
    <t xml:space="preserve">Tiverton</t>
  </si>
  <si>
    <t xml:space="preserve">EX16 6NT</t>
  </si>
  <si>
    <t xml:space="preserve">01884 235400</t>
  </si>
  <si>
    <t xml:space="preserve">RH854</t>
  </si>
  <si>
    <t xml:space="preserve">Honiton Hospital</t>
  </si>
  <si>
    <t xml:space="preserve">Honiton</t>
  </si>
  <si>
    <t xml:space="preserve">EX14 2DE</t>
  </si>
  <si>
    <t xml:space="preserve">01404 540540</t>
  </si>
  <si>
    <t xml:space="preserve">RH857</t>
  </si>
  <si>
    <t xml:space="preserve">Axminster Hospital</t>
  </si>
  <si>
    <t xml:space="preserve">Axminster</t>
  </si>
  <si>
    <t xml:space="preserve">EX13 5DU</t>
  </si>
  <si>
    <t xml:space="preserve">01297 630400</t>
  </si>
  <si>
    <t xml:space="preserve">RH858</t>
  </si>
  <si>
    <t xml:space="preserve">Exmouth Hospital</t>
  </si>
  <si>
    <t xml:space="preserve">Exmouth</t>
  </si>
  <si>
    <t xml:space="preserve">EX8 2JN</t>
  </si>
  <si>
    <t xml:space="preserve">01395 279684</t>
  </si>
  <si>
    <t xml:space="preserve">RH859</t>
  </si>
  <si>
    <t xml:space="preserve">Victoria Hospital (Sidmouth)</t>
  </si>
  <si>
    <t xml:space="preserve">Sidmouth</t>
  </si>
  <si>
    <t xml:space="preserve">EX10 8EW</t>
  </si>
  <si>
    <t xml:space="preserve">RHA04</t>
  </si>
  <si>
    <t xml:space="preserve">Rampton Hospital</t>
  </si>
  <si>
    <t xml:space="preserve">Nottinghamshire Healthcare NHS Foundation Trust</t>
  </si>
  <si>
    <t xml:space="preserve">Retford</t>
  </si>
  <si>
    <t xml:space="preserve">DN22 0PD</t>
  </si>
  <si>
    <t xml:space="preserve">01777 24 8321</t>
  </si>
  <si>
    <t xml:space="preserve">http://www.nottinghamshirehealthcare.nhs.uk/rampton-hospital</t>
  </si>
  <si>
    <t xml:space="preserve">RHANN</t>
  </si>
  <si>
    <t xml:space="preserve">Lings Bar Hospital</t>
  </si>
  <si>
    <t xml:space="preserve">NG2 6PR</t>
  </si>
  <si>
    <t xml:space="preserve">0115 955 5477</t>
  </si>
  <si>
    <t xml:space="preserve">RHM01</t>
  </si>
  <si>
    <t xml:space="preserve">Southampton General Hospital</t>
  </si>
  <si>
    <t xml:space="preserve">University Hospital Southampton NHS Foundation Trust</t>
  </si>
  <si>
    <t xml:space="preserve">SO16 6YD</t>
  </si>
  <si>
    <t xml:space="preserve">023 8077 7222</t>
  </si>
  <si>
    <t xml:space="preserve">patientsupportservices@uhs.nhs.uk</t>
  </si>
  <si>
    <t xml:space="preserve">http://www.uhs.nhs.uk</t>
  </si>
  <si>
    <t xml:space="preserve">RHM12</t>
  </si>
  <si>
    <t xml:space="preserve">Princess Anne Hospital</t>
  </si>
  <si>
    <t xml:space="preserve">SO16 5YA</t>
  </si>
  <si>
    <t xml:space="preserve">RHQCC</t>
  </si>
  <si>
    <t xml:space="preserve">Charles Clifford Dental Hospital</t>
  </si>
  <si>
    <t xml:space="preserve">Sheffield Teaching Hospitals NHS Foundation Trust</t>
  </si>
  <si>
    <t xml:space="preserve">S10 2SZ</t>
  </si>
  <si>
    <t xml:space="preserve">0114 271 7800</t>
  </si>
  <si>
    <t xml:space="preserve">http://www.sth.nhs.uk</t>
  </si>
  <si>
    <t xml:space="preserve">RHQHH</t>
  </si>
  <si>
    <t xml:space="preserve">Royal Hallamshire Hospital</t>
  </si>
  <si>
    <t xml:space="preserve">S10 2JF</t>
  </si>
  <si>
    <t xml:space="preserve">0114 2434343</t>
  </si>
  <si>
    <t xml:space="preserve">RHQNG</t>
  </si>
  <si>
    <t xml:space="preserve">Northern General Hospital</t>
  </si>
  <si>
    <t xml:space="preserve">S5 7AU</t>
  </si>
  <si>
    <t xml:space="preserve">0114 243 4343</t>
  </si>
  <si>
    <t xml:space="preserve">RHQWP</t>
  </si>
  <si>
    <t xml:space="preserve">Weston Park Hospital</t>
  </si>
  <si>
    <t xml:space="preserve">S10 2SJ</t>
  </si>
  <si>
    <t xml:space="preserve">0114 226 5000</t>
  </si>
  <si>
    <t xml:space="preserve">RHU02</t>
  </si>
  <si>
    <t xml:space="preserve">St Mary</t>
  </si>
  <si>
    <t xml:space="preserve">Portsmouth Hospitals NHS Trust</t>
  </si>
  <si>
    <t xml:space="preserve">Portsmouth</t>
  </si>
  <si>
    <t xml:space="preserve">PO3 6AD</t>
  </si>
  <si>
    <t xml:space="preserve">02392 680000</t>
  </si>
  <si>
    <t xml:space="preserve">http://www.porthosp.nhs.uk</t>
  </si>
  <si>
    <t xml:space="preserve">RHU03</t>
  </si>
  <si>
    <t xml:space="preserve">Queen Alexandra Hospital</t>
  </si>
  <si>
    <t xml:space="preserve">PO6 3LY</t>
  </si>
  <si>
    <t xml:space="preserve">023 9228 6000</t>
  </si>
  <si>
    <t xml:space="preserve">RHU10</t>
  </si>
  <si>
    <t xml:space="preserve">Gosport War Memorial Hospital - Portsmouth Hospitals NHS Trust</t>
  </si>
  <si>
    <t xml:space="preserve">PO12 3PW</t>
  </si>
  <si>
    <t xml:space="preserve">02392 524611</t>
  </si>
  <si>
    <t xml:space="preserve">https://www.southernhealth.nhs.uk/locations/gosport-war-memorial-hospital</t>
  </si>
  <si>
    <t xml:space="preserve">RHW01</t>
  </si>
  <si>
    <t xml:space="preserve">Royal Berkshire Hospital</t>
  </si>
  <si>
    <t xml:space="preserve">Royal Berkshire NHS Foundation Trust</t>
  </si>
  <si>
    <t xml:space="preserve">RG1 5AN</t>
  </si>
  <si>
    <t xml:space="preserve">0118 322 5111</t>
  </si>
  <si>
    <t xml:space="preserve">nhs.choices@royalberkshire.nhs.uk</t>
  </si>
  <si>
    <t xml:space="preserve">http://www.royalberkshire.nhs.uk</t>
  </si>
  <si>
    <t xml:space="preserve">RHW03</t>
  </si>
  <si>
    <t xml:space="preserve">Prince Charles Eye Unit</t>
  </si>
  <si>
    <t xml:space="preserve">SL4 3DP</t>
  </si>
  <si>
    <t xml:space="preserve">01753 860 441</t>
  </si>
  <si>
    <t xml:space="preserve">RJ121</t>
  </si>
  <si>
    <t xml:space="preserve">Guy's Hospital</t>
  </si>
  <si>
    <t xml:space="preserve">Guy's and St Thomas' NHS Foundation Trust</t>
  </si>
  <si>
    <t xml:space="preserve">SE1 9RT</t>
  </si>
  <si>
    <t xml:space="preserve">020 7188 7188</t>
  </si>
  <si>
    <t xml:space="preserve">pals@gstt.nhs.uk</t>
  </si>
  <si>
    <t xml:space="preserve">https://www.guysandstthomas.nhs.uk</t>
  </si>
  <si>
    <t xml:space="preserve">RJ122</t>
  </si>
  <si>
    <t xml:space="preserve">St Thomas'</t>
  </si>
  <si>
    <t xml:space="preserve">SE1 7EH</t>
  </si>
  <si>
    <t xml:space="preserve">RJ224</t>
  </si>
  <si>
    <t xml:space="preserve">University Hospital Lewisham</t>
  </si>
  <si>
    <t xml:space="preserve">Lewisham and Greenwich NHS Trust</t>
  </si>
  <si>
    <t xml:space="preserve">SE13 6LH</t>
  </si>
  <si>
    <t xml:space="preserve">020 8333 3000</t>
  </si>
  <si>
    <t xml:space="preserve">http://www.lewishamandgreenwich.nhs.uk</t>
  </si>
  <si>
    <t xml:space="preserve">RJ611</t>
  </si>
  <si>
    <t xml:space="preserve">Croydon University Hospital</t>
  </si>
  <si>
    <t xml:space="preserve">Croydon Health Services NHS Trust</t>
  </si>
  <si>
    <t xml:space="preserve">Thornton Heath</t>
  </si>
  <si>
    <t xml:space="preserve">CR7 7YE</t>
  </si>
  <si>
    <t xml:space="preserve">020 8401 3000</t>
  </si>
  <si>
    <t xml:space="preserve">http://www.croydonhealthservices.nhs.uk</t>
  </si>
  <si>
    <t xml:space="preserve">RJ613</t>
  </si>
  <si>
    <t xml:space="preserve">Purley War Memorial Hospital</t>
  </si>
  <si>
    <t xml:space="preserve">Purley</t>
  </si>
  <si>
    <t xml:space="preserve">CR8 2YL</t>
  </si>
  <si>
    <t xml:space="preserve">020 8401 3515</t>
  </si>
  <si>
    <t xml:space="preserve">RJ701</t>
  </si>
  <si>
    <t xml:space="preserve">St George's Hospital</t>
  </si>
  <si>
    <t xml:space="preserve">St George's University Hospitals NHS Foundation Trust</t>
  </si>
  <si>
    <t xml:space="preserve">SW17 0QT</t>
  </si>
  <si>
    <t xml:space="preserve">0208 672 1255</t>
  </si>
  <si>
    <t xml:space="preserve">communications@stgeorges.nhs.uk</t>
  </si>
  <si>
    <t xml:space="preserve">http://www.stgeorges.nhs.uk</t>
  </si>
  <si>
    <t xml:space="preserve">RJ731</t>
  </si>
  <si>
    <t xml:space="preserve">Queen Mary - St George's University Hospitals NHS Foundation Trust</t>
  </si>
  <si>
    <t xml:space="preserve">SW15 5PN</t>
  </si>
  <si>
    <t xml:space="preserve">020 8487 6000</t>
  </si>
  <si>
    <t xml:space="preserve">https://www.stgeorges.nhs.uk</t>
  </si>
  <si>
    <t xml:space="preserve">RJ801</t>
  </si>
  <si>
    <t xml:space="preserve">St Austell Community Hospital - Cornwall Partnership NHS Foundation Trust</t>
  </si>
  <si>
    <t xml:space="preserve">Cornwall Partnership NHS Foundation Trust</t>
  </si>
  <si>
    <t xml:space="preserve">St. Austell</t>
  </si>
  <si>
    <t xml:space="preserve">PL26 6AD</t>
  </si>
  <si>
    <t xml:space="preserve">01726 873000</t>
  </si>
  <si>
    <t xml:space="preserve">http://www.cornwallft.nhs.uk/hospitals/st-austell</t>
  </si>
  <si>
    <t xml:space="preserve">RJ807</t>
  </si>
  <si>
    <t xml:space="preserve">Newquay Hospital - Cornwall Partnership NHS Foundation Trust</t>
  </si>
  <si>
    <t xml:space="preserve">Newquay</t>
  </si>
  <si>
    <t xml:space="preserve">TR7 1RQ</t>
  </si>
  <si>
    <t xml:space="preserve">01637 834800</t>
  </si>
  <si>
    <t xml:space="preserve">https://www.cornwallft.nhs.uk/newquay-community</t>
  </si>
  <si>
    <t xml:space="preserve">RJ817</t>
  </si>
  <si>
    <t xml:space="preserve">Camborne Redruth Community Hospital - Cornwall Partnership NHS Foundation Trust</t>
  </si>
  <si>
    <t xml:space="preserve">Redruth</t>
  </si>
  <si>
    <t xml:space="preserve">TR15 3ER</t>
  </si>
  <si>
    <t xml:space="preserve">01209 318000</t>
  </si>
  <si>
    <t xml:space="preserve">http://www.cornwallft.nhs.uk/hospitals/camborne-redruth</t>
  </si>
  <si>
    <t xml:space="preserve">RJ866</t>
  </si>
  <si>
    <t xml:space="preserve">Bodmin Hospital - Cornwall Partnership NHS Foundation Trust</t>
  </si>
  <si>
    <t xml:space="preserve">Bodmin</t>
  </si>
  <si>
    <t xml:space="preserve">PL31 2QT</t>
  </si>
  <si>
    <t xml:space="preserve">01208 251300</t>
  </si>
  <si>
    <t xml:space="preserve">cpn-tr.enquiries@nhs.net</t>
  </si>
  <si>
    <t xml:space="preserve">http://www.cornwallft.nhs.uk</t>
  </si>
  <si>
    <t xml:space="preserve">RJ867</t>
  </si>
  <si>
    <t xml:space="preserve">Stratton Hospital - Cornwall Partnership NHS Foundation Trust</t>
  </si>
  <si>
    <t xml:space="preserve">Bude</t>
  </si>
  <si>
    <t xml:space="preserve">EX23 9BR</t>
  </si>
  <si>
    <t xml:space="preserve">01288 320100</t>
  </si>
  <si>
    <t xml:space="preserve">http://www.cornwallft.nhs.uk/stratton-community</t>
  </si>
  <si>
    <t xml:space="preserve">RJ870</t>
  </si>
  <si>
    <t xml:space="preserve">Launceston Hospital - Cornwall Partnership NHS Foundation Trust</t>
  </si>
  <si>
    <t xml:space="preserve">Launceston</t>
  </si>
  <si>
    <t xml:space="preserve">PL15 9JD</t>
  </si>
  <si>
    <t xml:space="preserve">01566 761000</t>
  </si>
  <si>
    <t xml:space="preserve">https://www.cornwallft.nhs.uk/launceston-community</t>
  </si>
  <si>
    <t xml:space="preserve">RJC02</t>
  </si>
  <si>
    <t xml:space="preserve">Warwick Hospital</t>
  </si>
  <si>
    <t xml:space="preserve">South Warwickshire NHS Foundation Trust</t>
  </si>
  <si>
    <t xml:space="preserve">Warwick</t>
  </si>
  <si>
    <t xml:space="preserve">CV34 5BW</t>
  </si>
  <si>
    <t xml:space="preserve">01926 495321</t>
  </si>
  <si>
    <t xml:space="preserve">http://www.swft.nhs.uk</t>
  </si>
  <si>
    <t xml:space="preserve">RJC03</t>
  </si>
  <si>
    <t xml:space="preserve">Stratford Hospital</t>
  </si>
  <si>
    <t xml:space="preserve">Stratford-upon-Avon</t>
  </si>
  <si>
    <t xml:space="preserve">CV37 6NX</t>
  </si>
  <si>
    <t xml:space="preserve">01789 205831</t>
  </si>
  <si>
    <t xml:space="preserve">RJC04</t>
  </si>
  <si>
    <t xml:space="preserve">Ellen Badger Hospital</t>
  </si>
  <si>
    <t xml:space="preserve">Shipston-on-Stour</t>
  </si>
  <si>
    <t xml:space="preserve">CV36 4AX</t>
  </si>
  <si>
    <t xml:space="preserve">01608 661410</t>
  </si>
  <si>
    <t xml:space="preserve">RJE01</t>
  </si>
  <si>
    <t xml:space="preserve">Royal Stoke University Hospital</t>
  </si>
  <si>
    <t xml:space="preserve">University Hospitals of North Midlands</t>
  </si>
  <si>
    <t xml:space="preserve">Stoke-on-Trent</t>
  </si>
  <si>
    <t xml:space="preserve">ST4 6QG</t>
  </si>
  <si>
    <t xml:space="preserve">01782 715444</t>
  </si>
  <si>
    <t xml:space="preserve">http://www.uhnm.nhs.uk</t>
  </si>
  <si>
    <t xml:space="preserve">RJF05</t>
  </si>
  <si>
    <t xml:space="preserve">Sir Robert Peel Hospital</t>
  </si>
  <si>
    <t xml:space="preserve">Burton Hospitals NHS Foundation Trust</t>
  </si>
  <si>
    <t xml:space="preserve">Tamworth</t>
  </si>
  <si>
    <t xml:space="preserve">B78 3NG</t>
  </si>
  <si>
    <t xml:space="preserve">01827 263 800</t>
  </si>
  <si>
    <t xml:space="preserve">http://www.burtonhospitals.nhs.uk</t>
  </si>
  <si>
    <t xml:space="preserve">RJL30</t>
  </si>
  <si>
    <t xml:space="preserve">Diana, Princess Of Wales Hospital</t>
  </si>
  <si>
    <t xml:space="preserve">Northern Lincolnshire and Goole NHS Foundation Trust</t>
  </si>
  <si>
    <t xml:space="preserve">DN33 2BA</t>
  </si>
  <si>
    <t xml:space="preserve">01472 874111</t>
  </si>
  <si>
    <t xml:space="preserve">nlg-tr.pals@nhs.net</t>
  </si>
  <si>
    <t xml:space="preserve">http://www.nlg.nhs.uk/hospitals/grimsby</t>
  </si>
  <si>
    <t xml:space="preserve">RJL32</t>
  </si>
  <si>
    <t xml:space="preserve">Scunthorpe General Hospital</t>
  </si>
  <si>
    <t xml:space="preserve">Scunthorpe</t>
  </si>
  <si>
    <t xml:space="preserve">DN15 7BH</t>
  </si>
  <si>
    <t xml:space="preserve">01724 282282</t>
  </si>
  <si>
    <t xml:space="preserve">http://www.nlg.nhs.uk/hospitals/scunthorpe</t>
  </si>
  <si>
    <t xml:space="preserve">RJN63</t>
  </si>
  <si>
    <t xml:space="preserve">Congleton War Memorial Hospital</t>
  </si>
  <si>
    <t xml:space="preserve">East Cheshire NHS Trust</t>
  </si>
  <si>
    <t xml:space="preserve">Congleton</t>
  </si>
  <si>
    <t xml:space="preserve">CW12 3AR</t>
  </si>
  <si>
    <t xml:space="preserve">01260 294800</t>
  </si>
  <si>
    <t xml:space="preserve">http://www.eastcheshire.nhs.uk</t>
  </si>
  <si>
    <t xml:space="preserve">RJN68</t>
  </si>
  <si>
    <t xml:space="preserve">Knutsford and District Community Hospital</t>
  </si>
  <si>
    <t xml:space="preserve">Knutsford</t>
  </si>
  <si>
    <t xml:space="preserve">WA16 0BT</t>
  </si>
  <si>
    <t xml:space="preserve">01565 757220</t>
  </si>
  <si>
    <t xml:space="preserve">RJN71</t>
  </si>
  <si>
    <t xml:space="preserve">Macclesfield District General Hospital</t>
  </si>
  <si>
    <t xml:space="preserve">SK10 3BL</t>
  </si>
  <si>
    <t xml:space="preserve">01625 421000</t>
  </si>
  <si>
    <t xml:space="preserve">RJR05</t>
  </si>
  <si>
    <t xml:space="preserve">Countess Of Chester Hospital</t>
  </si>
  <si>
    <t xml:space="preserve">Countess Of Chester Hospital NHS Foundation Trust</t>
  </si>
  <si>
    <t xml:space="preserve">CH2 1HJ</t>
  </si>
  <si>
    <t xml:space="preserve">01244 365000</t>
  </si>
  <si>
    <t xml:space="preserve">cochpals@nhs.net</t>
  </si>
  <si>
    <t xml:space="preserve">http://www.coch.nhs.uk</t>
  </si>
  <si>
    <t xml:space="preserve">RJR60</t>
  </si>
  <si>
    <t xml:space="preserve">Ellesmere Port Hospital</t>
  </si>
  <si>
    <t xml:space="preserve">Ellesmere Port</t>
  </si>
  <si>
    <t xml:space="preserve">CH65 6SG</t>
  </si>
  <si>
    <t xml:space="preserve">01244 362986</t>
  </si>
  <si>
    <t xml:space="preserve">http://www.coch.nhs.uk/eph</t>
  </si>
  <si>
    <t xml:space="preserve">RJZ01</t>
  </si>
  <si>
    <t xml:space="preserve">King's College Hospital</t>
  </si>
  <si>
    <t xml:space="preserve">King's College Hospital NHS Foundation Trust</t>
  </si>
  <si>
    <t xml:space="preserve">SE5 9RS</t>
  </si>
  <si>
    <t xml:space="preserve">020 3299 9000</t>
  </si>
  <si>
    <t xml:space="preserve">kch-tr.palsdh@nhs.net</t>
  </si>
  <si>
    <t xml:space="preserve">http://www.kch.nhs.uk</t>
  </si>
  <si>
    <t xml:space="preserve">RK5BC</t>
  </si>
  <si>
    <t xml:space="preserve">King's Mill Hospital</t>
  </si>
  <si>
    <t xml:space="preserve">Sherwood Forest Hospitals NHS Foundation Trust</t>
  </si>
  <si>
    <t xml:space="preserve">Sutton-In-Ashfield</t>
  </si>
  <si>
    <t xml:space="preserve">NG17 4JL</t>
  </si>
  <si>
    <t xml:space="preserve">01623 622515</t>
  </si>
  <si>
    <t xml:space="preserve">sfh-tr.pet@nhs.net</t>
  </si>
  <si>
    <t xml:space="preserve">http://www.sfh-tr.nhs.uk</t>
  </si>
  <si>
    <t xml:space="preserve">RK5BL</t>
  </si>
  <si>
    <t xml:space="preserve">Mansfield Community Hospital</t>
  </si>
  <si>
    <t xml:space="preserve">Mansfield</t>
  </si>
  <si>
    <t xml:space="preserve">NG18 5QJ</t>
  </si>
  <si>
    <t xml:space="preserve">RK5HP</t>
  </si>
  <si>
    <t xml:space="preserve">Newark Hospital</t>
  </si>
  <si>
    <t xml:space="preserve">Newark</t>
  </si>
  <si>
    <t xml:space="preserve">NG24 4DE</t>
  </si>
  <si>
    <t xml:space="preserve">01636 681681</t>
  </si>
  <si>
    <t xml:space="preserve">RK950</t>
  </si>
  <si>
    <t xml:space="preserve">Derriford Hospital</t>
  </si>
  <si>
    <t xml:space="preserve">University Hospitals Plymouth NHS Trust</t>
  </si>
  <si>
    <t xml:space="preserve">PL6 8DH</t>
  </si>
  <si>
    <t xml:space="preserve">01752 202082</t>
  </si>
  <si>
    <t xml:space="preserve">http://www.plymouthhospitals.nhs.uk</t>
  </si>
  <si>
    <t xml:space="preserve">RK953</t>
  </si>
  <si>
    <t xml:space="preserve">Royal Eye Infirmary</t>
  </si>
  <si>
    <t xml:space="preserve">https://www.plymouthhospitals.nhs.uk</t>
  </si>
  <si>
    <t xml:space="preserve">RKB01</t>
  </si>
  <si>
    <t xml:space="preserve">University Hospital (Coventry)</t>
  </si>
  <si>
    <t xml:space="preserve">University Hospitals Coventry and Warwickshire NHS Trust</t>
  </si>
  <si>
    <t xml:space="preserve">CV2 2DX</t>
  </si>
  <si>
    <t xml:space="preserve">024 76964000</t>
  </si>
  <si>
    <t xml:space="preserve">info@uhcw.nhs.uk</t>
  </si>
  <si>
    <t xml:space="preserve">http://www.uhcw.nhs.uk</t>
  </si>
  <si>
    <t xml:space="preserve">RKB03</t>
  </si>
  <si>
    <t xml:space="preserve">Hospital Of St Cross</t>
  </si>
  <si>
    <t xml:space="preserve">Rugby</t>
  </si>
  <si>
    <t xml:space="preserve">CV22 5PX</t>
  </si>
  <si>
    <t xml:space="preserve">01788 572831</t>
  </si>
  <si>
    <t xml:space="preserve">RKEHC</t>
  </si>
  <si>
    <t xml:space="preserve">Hornsey Central Neighbourhood Health Centre</t>
  </si>
  <si>
    <t xml:space="preserve">Whittington Health NHS Trust</t>
  </si>
  <si>
    <t xml:space="preserve">N8 8JD</t>
  </si>
  <si>
    <t xml:space="preserve">RKEQ4</t>
  </si>
  <si>
    <t xml:space="preserve">The Whittington Hospital</t>
  </si>
  <si>
    <t xml:space="preserve">N19 5NF</t>
  </si>
  <si>
    <t xml:space="preserve">020 7272 3070</t>
  </si>
  <si>
    <t xml:space="preserve">https://www.whittington.nhs.uk</t>
  </si>
  <si>
    <t xml:space="preserve">RKL48</t>
  </si>
  <si>
    <t xml:space="preserve">Cassel Hospital</t>
  </si>
  <si>
    <t xml:space="preserve">West London NHS Trust</t>
  </si>
  <si>
    <t xml:space="preserve">Richmond</t>
  </si>
  <si>
    <t xml:space="preserve">TW10 7JF</t>
  </si>
  <si>
    <t xml:space="preserve">020 8483 2900</t>
  </si>
  <si>
    <t xml:space="preserve">cassel.hospital@nhs.net</t>
  </si>
  <si>
    <t xml:space="preserve">https://www.westlondon.nhs.uk/contact-us/sites-and-locations/cassel-hospital-services</t>
  </si>
  <si>
    <t xml:space="preserve">RKL51</t>
  </si>
  <si>
    <t xml:space="preserve">Broadmoor Hospital</t>
  </si>
  <si>
    <t xml:space="preserve">Crowthorne</t>
  </si>
  <si>
    <t xml:space="preserve">RG45 7EG</t>
  </si>
  <si>
    <t xml:space="preserve">01344 773 111</t>
  </si>
  <si>
    <t xml:space="preserve">http://www.wlmht.nhs.uk</t>
  </si>
  <si>
    <t xml:space="preserve">RL131</t>
  </si>
  <si>
    <t xml:space="preserve">The Robert Jones and Agnes Hunt Orthopaedic Hospital</t>
  </si>
  <si>
    <t xml:space="preserve">Robert Jones and Agnes Hunt Orthopaedic and District Hospital NHS Trust</t>
  </si>
  <si>
    <t xml:space="preserve">Oswestry</t>
  </si>
  <si>
    <t xml:space="preserve">SY10 7AG</t>
  </si>
  <si>
    <t xml:space="preserve">01691 404000</t>
  </si>
  <si>
    <t xml:space="preserve">http://www.rjah.nhs.uk</t>
  </si>
  <si>
    <t xml:space="preserve">RL403</t>
  </si>
  <si>
    <t xml:space="preserve">New Cross Hospital</t>
  </si>
  <si>
    <t xml:space="preserve">The Royal Wolverhampton NHS Trust</t>
  </si>
  <si>
    <t xml:space="preserve">WV10 0QP</t>
  </si>
  <si>
    <t xml:space="preserve">01902 307999</t>
  </si>
  <si>
    <t xml:space="preserve">your.comments@rwh-tr.nhs.uk</t>
  </si>
  <si>
    <t xml:space="preserve">http://www.royalwolverhampton.nhs.uk</t>
  </si>
  <si>
    <t xml:space="preserve">RLNGL</t>
  </si>
  <si>
    <t xml:space="preserve">Sunderland Royal Hospital</t>
  </si>
  <si>
    <t xml:space="preserve">City Hospitals Sunderland NHS Foundation Trust</t>
  </si>
  <si>
    <t xml:space="preserve">Sunderland</t>
  </si>
  <si>
    <t xml:space="preserve">SR4 7TP</t>
  </si>
  <si>
    <t xml:space="preserve">0191 565 6256</t>
  </si>
  <si>
    <t xml:space="preserve">chscomms@chsft.nhs.uk</t>
  </si>
  <si>
    <t xml:space="preserve">http://www.stsft.nhs.uk</t>
  </si>
  <si>
    <t xml:space="preserve">RLNGM</t>
  </si>
  <si>
    <t xml:space="preserve">Sunderland Eye Infirmary</t>
  </si>
  <si>
    <t xml:space="preserve">SR2 9HP</t>
  </si>
  <si>
    <t xml:space="preserve">corporate.affairs@chs.northy.nhs.uk</t>
  </si>
  <si>
    <t xml:space="preserve">http://www.chsft.nhs.uk</t>
  </si>
  <si>
    <t xml:space="preserve">RLQ01</t>
  </si>
  <si>
    <t xml:space="preserve">The County Hospital, Wye Valley NHS Trust</t>
  </si>
  <si>
    <t xml:space="preserve">Wye Valley NHS Trust</t>
  </si>
  <si>
    <t xml:space="preserve">HR1 2BN</t>
  </si>
  <si>
    <t xml:space="preserve">01432 355 444</t>
  </si>
  <si>
    <t xml:space="preserve">pals@wvt.nhs.uk</t>
  </si>
  <si>
    <t xml:space="preserve">http://www.wyevalley.nhs.uk</t>
  </si>
  <si>
    <t xml:space="preserve">RLQ03</t>
  </si>
  <si>
    <t xml:space="preserve">Bromyard Community Hospital</t>
  </si>
  <si>
    <t xml:space="preserve">Bromyard</t>
  </si>
  <si>
    <t xml:space="preserve">Unknown County</t>
  </si>
  <si>
    <t xml:space="preserve">HR7 4QN</t>
  </si>
  <si>
    <t xml:space="preserve">01885 485700</t>
  </si>
  <si>
    <t xml:space="preserve">RLQ06</t>
  </si>
  <si>
    <t xml:space="preserve">Leominster Community Hospital</t>
  </si>
  <si>
    <t xml:space="preserve">Leominster</t>
  </si>
  <si>
    <t xml:space="preserve">HR6 8JH</t>
  </si>
  <si>
    <t xml:space="preserve">01568 614211</t>
  </si>
  <si>
    <t xml:space="preserve">RLQ08</t>
  </si>
  <si>
    <t xml:space="preserve">Ross on Wye Community Hospital</t>
  </si>
  <si>
    <t xml:space="preserve">Ross-on-Wye</t>
  </si>
  <si>
    <t xml:space="preserve">HR9 5AD</t>
  </si>
  <si>
    <t xml:space="preserve">01989 562100</t>
  </si>
  <si>
    <t xml:space="preserve">RLT01</t>
  </si>
  <si>
    <t xml:space="preserve">George Eliot Hospital</t>
  </si>
  <si>
    <t xml:space="preserve">George Eliot Hospital NHS Trust</t>
  </si>
  <si>
    <t xml:space="preserve">Nuneaton</t>
  </si>
  <si>
    <t xml:space="preserve">CV10 7DJ</t>
  </si>
  <si>
    <t xml:space="preserve">024 76351351</t>
  </si>
  <si>
    <t xml:space="preserve">enquiries@geh.nhs.uk</t>
  </si>
  <si>
    <t xml:space="preserve">http://www.geh.nhs.uk</t>
  </si>
  <si>
    <t xml:space="preserve">RLY88</t>
  </si>
  <si>
    <t xml:space="preserve">Harplands Hospital</t>
  </si>
  <si>
    <t xml:space="preserve">North Staffordshire Combined Healthcare NHS Trust</t>
  </si>
  <si>
    <t xml:space="preserve">ST4 6RR</t>
  </si>
  <si>
    <t xml:space="preserve">01782 441600</t>
  </si>
  <si>
    <t xml:space="preserve">RM102</t>
  </si>
  <si>
    <t xml:space="preserve">Norfolk and Norwich University Hospital</t>
  </si>
  <si>
    <t xml:space="preserve">Norfolk and Norwich University Hospitals NHS Foundation Trust</t>
  </si>
  <si>
    <t xml:space="preserve">NR4 7UY</t>
  </si>
  <si>
    <t xml:space="preserve">01603 286 286</t>
  </si>
  <si>
    <t xml:space="preserve">communications@nnuh.nhs.uk</t>
  </si>
  <si>
    <t xml:space="preserve">http://www.nnuh.nhs.uk</t>
  </si>
  <si>
    <t xml:space="preserve">RM131</t>
  </si>
  <si>
    <t xml:space="preserve">Cromer and District Hospital</t>
  </si>
  <si>
    <t xml:space="preserve">Cromer</t>
  </si>
  <si>
    <t xml:space="preserve">NR27 0BQ</t>
  </si>
  <si>
    <t xml:space="preserve">01263 513571</t>
  </si>
  <si>
    <t xml:space="preserve">RM301</t>
  </si>
  <si>
    <t xml:space="preserve">Salford Royal</t>
  </si>
  <si>
    <t xml:space="preserve">Salford Royal NHS Foundation Trust</t>
  </si>
  <si>
    <t xml:space="preserve">M6 8HD</t>
  </si>
  <si>
    <t xml:space="preserve">0161 789 7373</t>
  </si>
  <si>
    <t xml:space="preserve">http://www.srft.nhs.uk</t>
  </si>
  <si>
    <t xml:space="preserve">RMC01</t>
  </si>
  <si>
    <t xml:space="preserve">Royal Bolton Hospital</t>
  </si>
  <si>
    <t xml:space="preserve">Bolton NHS Foundation Trust</t>
  </si>
  <si>
    <t xml:space="preserve">BL4 0JR</t>
  </si>
  <si>
    <t xml:space="preserve">01204 390390</t>
  </si>
  <si>
    <t xml:space="preserve">http://www.boltonft.nhs.uk</t>
  </si>
  <si>
    <t xml:space="preserve">RMP01</t>
  </si>
  <si>
    <t xml:space="preserve">Tameside &amp; Glossop Integrated Care NHS Foundation Trust</t>
  </si>
  <si>
    <t xml:space="preserve">Tameside Hospital NHS Foundation Trust</t>
  </si>
  <si>
    <t xml:space="preserve">Ashton Under Lyne</t>
  </si>
  <si>
    <t xml:space="preserve">OL6 9RW</t>
  </si>
  <si>
    <t xml:space="preserve">0161 922 6000</t>
  </si>
  <si>
    <t xml:space="preserve">http://www.tamesidehospital.nhs.uk</t>
  </si>
  <si>
    <t xml:space="preserve">RMY01</t>
  </si>
  <si>
    <t xml:space="preserve">Wellbeing Norfolk &amp; Waveney</t>
  </si>
  <si>
    <t xml:space="preserve">NR6 5BE</t>
  </si>
  <si>
    <t xml:space="preserve">01603 421421</t>
  </si>
  <si>
    <t xml:space="preserve">https://www.nsft.nhs.uk/Pages/Home.aspx</t>
  </si>
  <si>
    <t xml:space="preserve">RMY02</t>
  </si>
  <si>
    <t xml:space="preserve">Julian Hospital</t>
  </si>
  <si>
    <t xml:space="preserve">NR2 3TD</t>
  </si>
  <si>
    <t xml:space="preserve">0300 123 4969</t>
  </si>
  <si>
    <t xml:space="preserve">http://www.nsft.nhs.uk</t>
  </si>
  <si>
    <t xml:space="preserve">RMY03</t>
  </si>
  <si>
    <t xml:space="preserve">Northgate Hospital, Gt Yarmouth</t>
  </si>
  <si>
    <t xml:space="preserve">NR30 1BU</t>
  </si>
  <si>
    <t xml:space="preserve">01493 337652</t>
  </si>
  <si>
    <t xml:space="preserve">info@nwmghp.nhs.uk</t>
  </si>
  <si>
    <t xml:space="preserve">http://www.nwmhp.nhs.uk</t>
  </si>
  <si>
    <t xml:space="preserve">RMY09</t>
  </si>
  <si>
    <t xml:space="preserve">Bickley Day Hospital</t>
  </si>
  <si>
    <t xml:space="preserve">Attleborough</t>
  </si>
  <si>
    <t xml:space="preserve">NR17 2QE</t>
  </si>
  <si>
    <t xml:space="preserve">01953 455800</t>
  </si>
  <si>
    <t xml:space="preserve">http://www.nsft.nhs.uk/Pages/Home.aspx</t>
  </si>
  <si>
    <t xml:space="preserve">RMY13</t>
  </si>
  <si>
    <t xml:space="preserve">Carlton Court</t>
  </si>
  <si>
    <t xml:space="preserve">Carlton Colville</t>
  </si>
  <si>
    <t xml:space="preserve">NR33 8AG</t>
  </si>
  <si>
    <t xml:space="preserve">01502 527474</t>
  </si>
  <si>
    <t xml:space="preserve">RN313</t>
  </si>
  <si>
    <t xml:space="preserve">Savernake Hospital</t>
  </si>
  <si>
    <t xml:space="preserve">Great Western Hospitals NHS Foundation Trust</t>
  </si>
  <si>
    <t xml:space="preserve">Marlborough</t>
  </si>
  <si>
    <t xml:space="preserve">SN8 3HL</t>
  </si>
  <si>
    <t xml:space="preserve">01672 517200</t>
  </si>
  <si>
    <t xml:space="preserve">https://www.gwh.nhs.uk</t>
  </si>
  <si>
    <t xml:space="preserve">RN325</t>
  </si>
  <si>
    <t xml:space="preserve">The Great Western Hospital</t>
  </si>
  <si>
    <t xml:space="preserve">SN3 6BB</t>
  </si>
  <si>
    <t xml:space="preserve">01793 604020</t>
  </si>
  <si>
    <t xml:space="preserve">http://www.gwh.nhs.uk</t>
  </si>
  <si>
    <t xml:space="preserve">RN333</t>
  </si>
  <si>
    <t xml:space="preserve">Chippenham Community Hospital</t>
  </si>
  <si>
    <t xml:space="preserve">Chippenham</t>
  </si>
  <si>
    <t xml:space="preserve">SN15 2AJ</t>
  </si>
  <si>
    <t xml:space="preserve">01249 447100</t>
  </si>
  <si>
    <t xml:space="preserve">RN334</t>
  </si>
  <si>
    <t xml:space="preserve">Trowbridge Community Hospital</t>
  </si>
  <si>
    <t xml:space="preserve">Trowbridge</t>
  </si>
  <si>
    <t xml:space="preserve">BA14 8PH</t>
  </si>
  <si>
    <t xml:space="preserve">01225 711300</t>
  </si>
  <si>
    <t xml:space="preserve">RN506</t>
  </si>
  <si>
    <t xml:space="preserve">Basingstoke and North Hampshire Hospital</t>
  </si>
  <si>
    <t xml:space="preserve">Hampshire Hospitals NHS Foundation Trust</t>
  </si>
  <si>
    <t xml:space="preserve">Basingstoke</t>
  </si>
  <si>
    <t xml:space="preserve">RG24 9NA</t>
  </si>
  <si>
    <t xml:space="preserve">01256 473 202</t>
  </si>
  <si>
    <t xml:space="preserve">customercare@hhft.nhs.uk</t>
  </si>
  <si>
    <t xml:space="preserve">http://www.hampshirehospitals.nhs.uk</t>
  </si>
  <si>
    <t xml:space="preserve">RN541</t>
  </si>
  <si>
    <t xml:space="preserve">Royal Hampshire County Hospital</t>
  </si>
  <si>
    <t xml:space="preserve">SO22 5DG</t>
  </si>
  <si>
    <t xml:space="preserve">01962863535</t>
  </si>
  <si>
    <t xml:space="preserve">hampshire.hospitals@hhft.nhs.uk</t>
  </si>
  <si>
    <t xml:space="preserve">RN542</t>
  </si>
  <si>
    <t xml:space="preserve">Andover War Memorial Hospital</t>
  </si>
  <si>
    <t xml:space="preserve">Andover</t>
  </si>
  <si>
    <t xml:space="preserve">SP10 3LB</t>
  </si>
  <si>
    <t xml:space="preserve">01264 358 811</t>
  </si>
  <si>
    <t xml:space="preserve">RN707</t>
  </si>
  <si>
    <t xml:space="preserve">Darent Valley Hospital</t>
  </si>
  <si>
    <t xml:space="preserve">Dartford and Gravesham NHS Trust</t>
  </si>
  <si>
    <t xml:space="preserve">Dartford</t>
  </si>
  <si>
    <t xml:space="preserve">DA2 8DA</t>
  </si>
  <si>
    <t xml:space="preserve">01322 428100</t>
  </si>
  <si>
    <t xml:space="preserve">dgn-tr.enquiries@nhs.net</t>
  </si>
  <si>
    <t xml:space="preserve">http://www.dgt.nhs.uk</t>
  </si>
  <si>
    <t xml:space="preserve">RNA01</t>
  </si>
  <si>
    <t xml:space="preserve">Russells Hall Hospital</t>
  </si>
  <si>
    <t xml:space="preserve">The Dudley Group NHS Foundation Trust</t>
  </si>
  <si>
    <t xml:space="preserve">Dudley</t>
  </si>
  <si>
    <t xml:space="preserve">DY1 2HQ</t>
  </si>
  <si>
    <t xml:space="preserve">01384 456111</t>
  </si>
  <si>
    <t xml:space="preserve">communications@dgh.nhs.uk</t>
  </si>
  <si>
    <t xml:space="preserve">http://www.dudleygroup.nhs.uk</t>
  </si>
  <si>
    <t xml:space="preserve">RNA02</t>
  </si>
  <si>
    <t xml:space="preserve">Guest Hospital</t>
  </si>
  <si>
    <t xml:space="preserve">DY1 4SE</t>
  </si>
  <si>
    <t xml:space="preserve">http://www.dgh.nhs.uk</t>
  </si>
  <si>
    <t xml:space="preserve">RNA04</t>
  </si>
  <si>
    <t xml:space="preserve">Corbett Hospital</t>
  </si>
  <si>
    <t xml:space="preserve">Stourbridge</t>
  </si>
  <si>
    <t xml:space="preserve">DY8 4JB</t>
  </si>
  <si>
    <t xml:space="preserve">RNLAY</t>
  </si>
  <si>
    <t xml:space="preserve">Cumberland Infirmary</t>
  </si>
  <si>
    <t xml:space="preserve">North Cumbria University Hospitals NHS Trust</t>
  </si>
  <si>
    <t xml:space="preserve">Carlisle</t>
  </si>
  <si>
    <t xml:space="preserve">Cumbria</t>
  </si>
  <si>
    <t xml:space="preserve">CA2 7HY</t>
  </si>
  <si>
    <t xml:space="preserve">01228 523444</t>
  </si>
  <si>
    <t xml:space="preserve">http://www.ncuh.nhs.uk/index.aspx</t>
  </si>
  <si>
    <t xml:space="preserve">RNNBE</t>
  </si>
  <si>
    <t xml:space="preserve">Penrith Hospital</t>
  </si>
  <si>
    <t xml:space="preserve">North Cumbria Integrated Care NHS Foundation Trust</t>
  </si>
  <si>
    <t xml:space="preserve">Penrith</t>
  </si>
  <si>
    <t xml:space="preserve">CA11 8HX</t>
  </si>
  <si>
    <t xml:space="preserve">01768 245555</t>
  </si>
  <si>
    <t xml:space="preserve">http://www.cumbriapartnership.nhs.uk</t>
  </si>
  <si>
    <t xml:space="preserve">RNNCB</t>
  </si>
  <si>
    <t xml:space="preserve">Cockermouth Community Hospital</t>
  </si>
  <si>
    <t xml:space="preserve">Cockermouth</t>
  </si>
  <si>
    <t xml:space="preserve">CA13 9HT</t>
  </si>
  <si>
    <t xml:space="preserve">01900 705776</t>
  </si>
  <si>
    <t xml:space="preserve">https://www.cumbriapartnership.nhs.uk/where-we-work/cockermouth-community-hospital</t>
  </si>
  <si>
    <t xml:space="preserve">RNQ51</t>
  </si>
  <si>
    <t xml:space="preserve">Kettering General Hospital</t>
  </si>
  <si>
    <t xml:space="preserve">Kettering General Hospital NHS Foundation Trust</t>
  </si>
  <si>
    <t xml:space="preserve">NN16 8UZ</t>
  </si>
  <si>
    <t xml:space="preserve">01536 492000</t>
  </si>
  <si>
    <t xml:space="preserve">enquiries@kgh.nhs.uk</t>
  </si>
  <si>
    <t xml:space="preserve">http://www.kgh.nhs.uk</t>
  </si>
  <si>
    <t xml:space="preserve">RNZ02</t>
  </si>
  <si>
    <t xml:space="preserve">Salisbury District Hospital</t>
  </si>
  <si>
    <t xml:space="preserve">Salisbury NHS Foundation Trust</t>
  </si>
  <si>
    <t xml:space="preserve">SP2 8BJ</t>
  </si>
  <si>
    <t xml:space="preserve">01722 336262</t>
  </si>
  <si>
    <t xml:space="preserve">sft.pals@nhs.net</t>
  </si>
  <si>
    <t xml:space="preserve">http://www.salisbury.nhs.uk</t>
  </si>
  <si>
    <t xml:space="preserve">RNZ69</t>
  </si>
  <si>
    <t xml:space="preserve">Devizes Community Hospital</t>
  </si>
  <si>
    <t xml:space="preserve">Devizes</t>
  </si>
  <si>
    <t xml:space="preserve">SN10 1EF</t>
  </si>
  <si>
    <t xml:space="preserve">RP1A1</t>
  </si>
  <si>
    <t xml:space="preserve">Northamptonshire Healthcare NHS Foundation Trust</t>
  </si>
  <si>
    <t xml:space="preserve">NN15 7PW</t>
  </si>
  <si>
    <t xml:space="preserve">01536 410141</t>
  </si>
  <si>
    <t xml:space="preserve">http://www.nhft.nhs.uk</t>
  </si>
  <si>
    <t xml:space="preserve">RP1F2</t>
  </si>
  <si>
    <t xml:space="preserve">Isebrook Hospital</t>
  </si>
  <si>
    <t xml:space="preserve">Wellingborough</t>
  </si>
  <si>
    <t xml:space="preserve">NN8 1LP</t>
  </si>
  <si>
    <t xml:space="preserve">01933 235800</t>
  </si>
  <si>
    <t xml:space="preserve">RP401</t>
  </si>
  <si>
    <t xml:space="preserve">Great Ormond Street Hospital</t>
  </si>
  <si>
    <t xml:space="preserve">Great Ormond Street Hospital for Children NHS Foundation Trust</t>
  </si>
  <si>
    <t xml:space="preserve">WC1N 3JH</t>
  </si>
  <si>
    <t xml:space="preserve">+44 (0)20 7405 9200</t>
  </si>
  <si>
    <t xml:space="preserve">http://www.gosh.nhs.uk</t>
  </si>
  <si>
    <t xml:space="preserve">RP5BA</t>
  </si>
  <si>
    <t xml:space="preserve">Bassetlaw Hospital</t>
  </si>
  <si>
    <t xml:space="preserve">Doncaster and Bassetlaw Teaching Hospitals NHS Foundation Trust</t>
  </si>
  <si>
    <t xml:space="preserve">Worksop</t>
  </si>
  <si>
    <t xml:space="preserve">S81 0BD</t>
  </si>
  <si>
    <t xml:space="preserve">01909 500990</t>
  </si>
  <si>
    <t xml:space="preserve">http://www.dbth.nhs.uk</t>
  </si>
  <si>
    <t xml:space="preserve">RP5DR</t>
  </si>
  <si>
    <t xml:space="preserve">Doncaster Royal Infirmary</t>
  </si>
  <si>
    <t xml:space="preserve">DN2 5LT</t>
  </si>
  <si>
    <t xml:space="preserve">01302 366666</t>
  </si>
  <si>
    <t xml:space="preserve">RP5MM</t>
  </si>
  <si>
    <t xml:space="preserve">Montagu Hospital</t>
  </si>
  <si>
    <t xml:space="preserve">Mexborough</t>
  </si>
  <si>
    <t xml:space="preserve">S64 0AZ</t>
  </si>
  <si>
    <t xml:space="preserve">01709 585171</t>
  </si>
  <si>
    <t xml:space="preserve">http://www.dbh.nhs.uk</t>
  </si>
  <si>
    <t xml:space="preserve">RP5RE</t>
  </si>
  <si>
    <t xml:space="preserve">Retford Hospital</t>
  </si>
  <si>
    <t xml:space="preserve">DN22 7XF</t>
  </si>
  <si>
    <t xml:space="preserve">01777 274400</t>
  </si>
  <si>
    <t xml:space="preserve">RP601</t>
  </si>
  <si>
    <t xml:space="preserve">Moorfields Eye Hospital (City Road)</t>
  </si>
  <si>
    <t xml:space="preserve">Moorfields Eye Hospital NHS Foundation Trust</t>
  </si>
  <si>
    <t xml:space="preserve">EC1V 2PD</t>
  </si>
  <si>
    <t xml:space="preserve">020 7253 3411</t>
  </si>
  <si>
    <t xml:space="preserve">http://www.moorfields.nhs.uk</t>
  </si>
  <si>
    <t xml:space="preserve">RP768</t>
  </si>
  <si>
    <t xml:space="preserve">Discovery House - The Fens, The Vales &amp; The Wolds</t>
  </si>
  <si>
    <t xml:space="preserve">Lincolnshire Partnership NHS Foundation Trust</t>
  </si>
  <si>
    <t xml:space="preserve">LINCOLN</t>
  </si>
  <si>
    <t xml:space="preserve">LN1 1EE</t>
  </si>
  <si>
    <t xml:space="preserve">01522 597933</t>
  </si>
  <si>
    <t xml:space="preserve">RP7EV</t>
  </si>
  <si>
    <t xml:space="preserve">Peter Hodgkinson Centre - Charlesworth Ward &amp; Conolly Ward</t>
  </si>
  <si>
    <t xml:space="preserve">LN2 5QY</t>
  </si>
  <si>
    <t xml:space="preserve">01522 573553</t>
  </si>
  <si>
    <t xml:space="preserve">RP7LP</t>
  </si>
  <si>
    <t xml:space="preserve">Manthorpe Centre</t>
  </si>
  <si>
    <t xml:space="preserve">101 Manthorpe Road</t>
  </si>
  <si>
    <t xml:space="preserve">NG31 8DG</t>
  </si>
  <si>
    <t xml:space="preserve">01476 464848</t>
  </si>
  <si>
    <t xml:space="preserve">RPA02</t>
  </si>
  <si>
    <t xml:space="preserve">Medway Maritime Hospital</t>
  </si>
  <si>
    <t xml:space="preserve">Medway NHS Foundation Trust</t>
  </si>
  <si>
    <t xml:space="preserve">Gillingham</t>
  </si>
  <si>
    <t xml:space="preserve">ME7 5NY</t>
  </si>
  <si>
    <t xml:space="preserve">01634 830 000</t>
  </si>
  <si>
    <t xml:space="preserve">choices@medway.nhs.uk</t>
  </si>
  <si>
    <t xml:space="preserve">http://www.medway.nhs.uk</t>
  </si>
  <si>
    <t xml:space="preserve">RPC04</t>
  </si>
  <si>
    <t xml:space="preserve">Queen Victoria Hospital (East Grinstead)</t>
  </si>
  <si>
    <t xml:space="preserve">Queen Victoria Hospital NHS Foundation Trust</t>
  </si>
  <si>
    <t xml:space="preserve">East Grinstead</t>
  </si>
  <si>
    <t xml:space="preserve">RH19 3DZ</t>
  </si>
  <si>
    <t xml:space="preserve">01342 414000</t>
  </si>
  <si>
    <t xml:space="preserve">qvh.info@nhs.net</t>
  </si>
  <si>
    <t xml:space="preserve">http://www.qvh.nhs.uk</t>
  </si>
  <si>
    <t xml:space="preserve">RPGAD</t>
  </si>
  <si>
    <t xml:space="preserve">Green Parks House</t>
  </si>
  <si>
    <t xml:space="preserve">Oxleas NHS Foundation Trust</t>
  </si>
  <si>
    <t xml:space="preserve">BR6 8NY</t>
  </si>
  <si>
    <t xml:space="preserve">01689 880 000</t>
  </si>
  <si>
    <t xml:space="preserve">RPGAE</t>
  </si>
  <si>
    <t xml:space="preserve">Oxleas House</t>
  </si>
  <si>
    <t xml:space="preserve">SE18 4QH</t>
  </si>
  <si>
    <t xml:space="preserve">0203 953 6340</t>
  </si>
  <si>
    <t xml:space="preserve">http://www.oxleas.nhs.uk</t>
  </si>
  <si>
    <t xml:space="preserve">RPGAG</t>
  </si>
  <si>
    <t xml:space="preserve">Memorial Hospital (Greenwich)</t>
  </si>
  <si>
    <t xml:space="preserve">SE18 3RG</t>
  </si>
  <si>
    <t xml:space="preserve">020 8836 8500</t>
  </si>
  <si>
    <t xml:space="preserve">RPGHF</t>
  </si>
  <si>
    <t xml:space="preserve">Queen Mary</t>
  </si>
  <si>
    <t xml:space="preserve">Sidcup</t>
  </si>
  <si>
    <t xml:space="preserve">DA14 6LT</t>
  </si>
  <si>
    <t xml:space="preserve">020 8302 2678</t>
  </si>
  <si>
    <t xml:space="preserve">http://qmh.oxleas.nhs.uk</t>
  </si>
  <si>
    <t xml:space="preserve">RPY01</t>
  </si>
  <si>
    <t xml:space="preserve">The Royal Marsden Hospital (London)</t>
  </si>
  <si>
    <t xml:space="preserve">The Royal Marsden NHS Foundation Trust</t>
  </si>
  <si>
    <t xml:space="preserve">SW3 6JJ</t>
  </si>
  <si>
    <t xml:space="preserve">020 7352 8171</t>
  </si>
  <si>
    <t xml:space="preserve">patientcentre@royalmarsden.nhs.uk</t>
  </si>
  <si>
    <t xml:space="preserve">http://www.royalmarsden.nhs.uk</t>
  </si>
  <si>
    <t xml:space="preserve">RPY02</t>
  </si>
  <si>
    <t xml:space="preserve">The Royal Marsden Hospital (Surrey)</t>
  </si>
  <si>
    <t xml:space="preserve">Sutton</t>
  </si>
  <si>
    <t xml:space="preserve">SM2 5PT</t>
  </si>
  <si>
    <t xml:space="preserve">020 8642 6011</t>
  </si>
  <si>
    <t xml:space="preserve">patientcentre@rmh.nhs.uk</t>
  </si>
  <si>
    <t xml:space="preserve">RQ301</t>
  </si>
  <si>
    <t xml:space="preserve">Birmingham Children's Hospital</t>
  </si>
  <si>
    <t xml:space="preserve">Birmingham Women's and Children's NHS Foundation Trust</t>
  </si>
  <si>
    <t xml:space="preserve">B4 6NH</t>
  </si>
  <si>
    <t xml:space="preserve">0121 333 9999</t>
  </si>
  <si>
    <t xml:space="preserve">http://www.bwc.nhs.uk</t>
  </si>
  <si>
    <t xml:space="preserve">RQM01</t>
  </si>
  <si>
    <t xml:space="preserve">Chelsea and Westminster Hospital</t>
  </si>
  <si>
    <t xml:space="preserve">Chelsea and Westminster Hospital NHS Foundation Trust</t>
  </si>
  <si>
    <t xml:space="preserve">SW10 9NH</t>
  </si>
  <si>
    <t xml:space="preserve">020 3315 8000</t>
  </si>
  <si>
    <t xml:space="preserve">http://www.chelwest.nhs.uk</t>
  </si>
  <si>
    <t xml:space="preserve">RQWG0</t>
  </si>
  <si>
    <t xml:space="preserve">Princess Alexandra Hospital</t>
  </si>
  <si>
    <t xml:space="preserve">The Princess Alexandra Hospital NHS Trust</t>
  </si>
  <si>
    <t xml:space="preserve">Harlow</t>
  </si>
  <si>
    <t xml:space="preserve">CM20 1QX</t>
  </si>
  <si>
    <t xml:space="preserve">01279 444455</t>
  </si>
  <si>
    <t xml:space="preserve">http://www.pah.nhs.uk</t>
  </si>
  <si>
    <t xml:space="preserve">RQXM1</t>
  </si>
  <si>
    <t xml:space="preserve">Homerton University Hospital</t>
  </si>
  <si>
    <t xml:space="preserve">Homerton University Hospital NHS Foundation Trust</t>
  </si>
  <si>
    <t xml:space="preserve">E9 6SR</t>
  </si>
  <si>
    <t xml:space="preserve">020 8510 5555</t>
  </si>
  <si>
    <t xml:space="preserve">huh-tr.enquiries@nhs.net</t>
  </si>
  <si>
    <t xml:space="preserve">http://www.homerton.nhs.uk</t>
  </si>
  <si>
    <t xml:space="preserve">RQY01</t>
  </si>
  <si>
    <t xml:space="preserve">Springfield University Hospital</t>
  </si>
  <si>
    <t xml:space="preserve">South West London and St George's Mental Health NHS Trust</t>
  </si>
  <si>
    <t xml:space="preserve">SW17 7DJ</t>
  </si>
  <si>
    <t xml:space="preserve">0203 513 5000</t>
  </si>
  <si>
    <t xml:space="preserve">http://www.swlstg.nhs.uk</t>
  </si>
  <si>
    <t xml:space="preserve">RQY05</t>
  </si>
  <si>
    <t xml:space="preserve">Barnes Hospital</t>
  </si>
  <si>
    <t xml:space="preserve">SW14 8SU</t>
  </si>
  <si>
    <t xml:space="preserve">https://www.swlstg.nhs.uk</t>
  </si>
  <si>
    <t xml:space="preserve">RQY08</t>
  </si>
  <si>
    <t xml:space="preserve">Tolworth Hospital</t>
  </si>
  <si>
    <t xml:space="preserve">Surbiton</t>
  </si>
  <si>
    <t xml:space="preserve">KT6 7QU</t>
  </si>
  <si>
    <t xml:space="preserve">020 3513 5000</t>
  </si>
  <si>
    <t xml:space="preserve">RR7EN</t>
  </si>
  <si>
    <t xml:space="preserve">Queen Elizabeth Hospital</t>
  </si>
  <si>
    <t xml:space="preserve">Gateshead Health NHS Foundation Trust</t>
  </si>
  <si>
    <t xml:space="preserve">Gateshead</t>
  </si>
  <si>
    <t xml:space="preserve">NE9 6SX</t>
  </si>
  <si>
    <t xml:space="preserve">0191 482 0000</t>
  </si>
  <si>
    <t xml:space="preserve">ghnt.pals.service@nhs.net</t>
  </si>
  <si>
    <t xml:space="preserve">http://www.qegateshead.nhs.uk</t>
  </si>
  <si>
    <t xml:space="preserve">RR7ER</t>
  </si>
  <si>
    <t xml:space="preserve">Dunston Hill Hospital</t>
  </si>
  <si>
    <t xml:space="preserve">NE11 9QT</t>
  </si>
  <si>
    <t xml:space="preserve">pals@ghnt.nhs.uk</t>
  </si>
  <si>
    <t xml:space="preserve">RR801</t>
  </si>
  <si>
    <t xml:space="preserve">Leeds General Infirmary</t>
  </si>
  <si>
    <t xml:space="preserve">Leeds Teaching Hospitals NHS Trust</t>
  </si>
  <si>
    <t xml:space="preserve">LS1 3EX</t>
  </si>
  <si>
    <t xml:space="preserve">0113 243 2799</t>
  </si>
  <si>
    <t xml:space="preserve">http://www.leedsth.nhs.uk</t>
  </si>
  <si>
    <t xml:space="preserve">RR802</t>
  </si>
  <si>
    <t xml:space="preserve">Leeds Dental Hospital</t>
  </si>
  <si>
    <t xml:space="preserve">LS2 9LU</t>
  </si>
  <si>
    <t xml:space="preserve">0113 2440111</t>
  </si>
  <si>
    <t xml:space="preserve">RR807</t>
  </si>
  <si>
    <t xml:space="preserve">Wharfedale Hospital</t>
  </si>
  <si>
    <t xml:space="preserve">Otley</t>
  </si>
  <si>
    <t xml:space="preserve">LS21 2LY</t>
  </si>
  <si>
    <t xml:space="preserve">(01943) 465522</t>
  </si>
  <si>
    <t xml:space="preserve">RR813</t>
  </si>
  <si>
    <t xml:space="preserve">St James's Hospital</t>
  </si>
  <si>
    <t xml:space="preserve">LS9 7TF</t>
  </si>
  <si>
    <t xml:space="preserve">0113 243 3144</t>
  </si>
  <si>
    <t xml:space="preserve">RR814</t>
  </si>
  <si>
    <t xml:space="preserve">Seacroft Hospital</t>
  </si>
  <si>
    <t xml:space="preserve">LS14 6UH</t>
  </si>
  <si>
    <t xml:space="preserve">(0113) 2648164</t>
  </si>
  <si>
    <t xml:space="preserve">RR819</t>
  </si>
  <si>
    <t xml:space="preserve">Chapel Allerton Hospital</t>
  </si>
  <si>
    <t xml:space="preserve">LS7 4SA</t>
  </si>
  <si>
    <t xml:space="preserve">(0113) 2623404</t>
  </si>
  <si>
    <t xml:space="preserve">RRE11</t>
  </si>
  <si>
    <t xml:space="preserve">St George's</t>
  </si>
  <si>
    <t xml:space="preserve">Midlands Partnership NHS Foundation Trust</t>
  </si>
  <si>
    <t xml:space="preserve">ST16 3SR</t>
  </si>
  <si>
    <t xml:space="preserve">0300 790 7000</t>
  </si>
  <si>
    <t xml:space="preserve">enquiries@mpft.nhs.uk</t>
  </si>
  <si>
    <t xml:space="preserve">https://www.mpft.nhs.uk</t>
  </si>
  <si>
    <t xml:space="preserve">RRF01</t>
  </si>
  <si>
    <t xml:space="preserve">Leigh Infirmary</t>
  </si>
  <si>
    <t xml:space="preserve">Wrightington, Wigan and Leigh NHS Foundation Trust</t>
  </si>
  <si>
    <t xml:space="preserve">Leigh</t>
  </si>
  <si>
    <t xml:space="preserve">WN7 1HS</t>
  </si>
  <si>
    <t xml:space="preserve">01942 244000</t>
  </si>
  <si>
    <t xml:space="preserve">patient.relations@wwl.nhs.uk</t>
  </si>
  <si>
    <t xml:space="preserve">http://www.wwl.nhs.uk/hospitals/leigh.aspx</t>
  </si>
  <si>
    <t xml:space="preserve">RRF02</t>
  </si>
  <si>
    <t xml:space="preserve">Royal Albert Edward Infirmary</t>
  </si>
  <si>
    <t xml:space="preserve">Wigan</t>
  </si>
  <si>
    <t xml:space="preserve">WN1 2NN</t>
  </si>
  <si>
    <t xml:space="preserve">http://www.wwl.nhs.uk/hospitals/raei.aspx</t>
  </si>
  <si>
    <t xml:space="preserve">RRF53</t>
  </si>
  <si>
    <t xml:space="preserve">Wrightington Hospital</t>
  </si>
  <si>
    <t xml:space="preserve">WN6 9EP</t>
  </si>
  <si>
    <t xml:space="preserve">http://www.wwl.nhs.uk/hospitals/wrightington/default.aspx</t>
  </si>
  <si>
    <t xml:space="preserve">RRJ05</t>
  </si>
  <si>
    <t xml:space="preserve">Royal Orthopaedic Hospital</t>
  </si>
  <si>
    <t xml:space="preserve">The Royal Orthopaedic Hospital NHS Foundation Trust</t>
  </si>
  <si>
    <t xml:space="preserve">B31 2AP</t>
  </si>
  <si>
    <t xml:space="preserve">0121 685 4000</t>
  </si>
  <si>
    <t xml:space="preserve">roh.comms@nhs.net</t>
  </si>
  <si>
    <t xml:space="preserve">http://www.roh.nhs.uk</t>
  </si>
  <si>
    <t xml:space="preserve">RRK15</t>
  </si>
  <si>
    <t xml:space="preserve">Queen Elizabeth Hospital Birmingham</t>
  </si>
  <si>
    <t xml:space="preserve">University Hospitals Birmingham NHS Foundation Trust</t>
  </si>
  <si>
    <t xml:space="preserve">B15 2WB</t>
  </si>
  <si>
    <t xml:space="preserve">0121 371 2000</t>
  </si>
  <si>
    <t xml:space="preserve">communications@uhb.nhs.uk</t>
  </si>
  <si>
    <t xml:space="preserve">http://www.uhb.nhs.uk</t>
  </si>
  <si>
    <t xml:space="preserve">RRV03</t>
  </si>
  <si>
    <t xml:space="preserve">University College Hospital</t>
  </si>
  <si>
    <t xml:space="preserve">University College London Hospitals NHS Foundation Trust</t>
  </si>
  <si>
    <t xml:space="preserve">NW1 2BU</t>
  </si>
  <si>
    <t xml:space="preserve">020 3456 7890</t>
  </si>
  <si>
    <t xml:space="preserve">http://www.uclh.nhs.uk</t>
  </si>
  <si>
    <t xml:space="preserve">RRV30</t>
  </si>
  <si>
    <t xml:space="preserve">University College Hospital at Westmoreland Street</t>
  </si>
  <si>
    <t xml:space="preserve">W1G 8PH</t>
  </si>
  <si>
    <t xml:space="preserve">020 3456 7898</t>
  </si>
  <si>
    <t xml:space="preserve">http://www.uclh.nhs.uk/OurServices/OurHospitals/HH/Pages/Home.aspx</t>
  </si>
  <si>
    <t xml:space="preserve">RRV60</t>
  </si>
  <si>
    <t xml:space="preserve">The Royal London Hospital For Integrated Medicine</t>
  </si>
  <si>
    <t xml:space="preserve">WC1N 3HR</t>
  </si>
  <si>
    <t xml:space="preserve">rlhhpatients@uclh.org</t>
  </si>
  <si>
    <t xml:space="preserve">http://www.uclh.nhs.uk/rlhim</t>
  </si>
  <si>
    <t xml:space="preserve">RRVNQ</t>
  </si>
  <si>
    <t xml:space="preserve">National Hospital For Neurology and Neurosurgery, Queen Square</t>
  </si>
  <si>
    <t xml:space="preserve">WC1N 3BG</t>
  </si>
  <si>
    <t xml:space="preserve">RRVRH</t>
  </si>
  <si>
    <t xml:space="preserve">Hospital For Tropical Diseases</t>
  </si>
  <si>
    <t xml:space="preserve">WC1E 6JD</t>
  </si>
  <si>
    <t xml:space="preserve">020 3456 7891</t>
  </si>
  <si>
    <t xml:space="preserve">RT113</t>
  </si>
  <si>
    <t xml:space="preserve">Fulbourn Hospital</t>
  </si>
  <si>
    <t xml:space="preserve">Cambridgeshire and Peterborough NHS Foundation Trust</t>
  </si>
  <si>
    <t xml:space="preserve">CB21 5EF</t>
  </si>
  <si>
    <t xml:space="preserve">01223219400</t>
  </si>
  <si>
    <t xml:space="preserve">http://www.cpft.nhs.uk</t>
  </si>
  <si>
    <t xml:space="preserve">RT301</t>
  </si>
  <si>
    <t xml:space="preserve">Harefield Hospital</t>
  </si>
  <si>
    <t xml:space="preserve">Royal Brompton and Harefield NHS Foundation Trust</t>
  </si>
  <si>
    <t xml:space="preserve">Harefield</t>
  </si>
  <si>
    <t xml:space="preserve">UB9 6JH</t>
  </si>
  <si>
    <t xml:space="preserve">01895 823 737</t>
  </si>
  <si>
    <t xml:space="preserve">pals@rbht.nhs.uk</t>
  </si>
  <si>
    <t xml:space="preserve">http://www.rbht.nhs.uk</t>
  </si>
  <si>
    <t xml:space="preserve">RT302</t>
  </si>
  <si>
    <t xml:space="preserve">Royal Brompton Hospital</t>
  </si>
  <si>
    <t xml:space="preserve">SW3 6NP</t>
  </si>
  <si>
    <t xml:space="preserve">020 7352 8121</t>
  </si>
  <si>
    <t xml:space="preserve">RTD01</t>
  </si>
  <si>
    <t xml:space="preserve">Freeman Hospital</t>
  </si>
  <si>
    <t xml:space="preserve">The Newcastle Upon Tyne Hospitals NHS Foundation Trust</t>
  </si>
  <si>
    <t xml:space="preserve">NE7 7DN</t>
  </si>
  <si>
    <t xml:space="preserve">(0191) 233 6161</t>
  </si>
  <si>
    <t xml:space="preserve">foundation.office@nuth.nhs.uk</t>
  </si>
  <si>
    <t xml:space="preserve">http://www.newcastle-hospitals.nhs.uk</t>
  </si>
  <si>
    <t xml:space="preserve">RTD02</t>
  </si>
  <si>
    <t xml:space="preserve">The Royal Victoria Infirmary</t>
  </si>
  <si>
    <t xml:space="preserve">NE1 4LP</t>
  </si>
  <si>
    <t xml:space="preserve">0191 233 6161</t>
  </si>
  <si>
    <t xml:space="preserve">RTD04</t>
  </si>
  <si>
    <t xml:space="preserve">Newcastle Dental Hospital</t>
  </si>
  <si>
    <t xml:space="preserve">NE2 4AZ</t>
  </si>
  <si>
    <t xml:space="preserve">RTD10</t>
  </si>
  <si>
    <t xml:space="preserve">Great North Childrens Hospital</t>
  </si>
  <si>
    <t xml:space="preserve">http://www.gnch.nhs.uk</t>
  </si>
  <si>
    <t xml:space="preserve">RTE01</t>
  </si>
  <si>
    <t xml:space="preserve">Cheltenham General Hospital</t>
  </si>
  <si>
    <t xml:space="preserve">Gloucestershire Hospitals NHS Foundation Trust</t>
  </si>
  <si>
    <t xml:space="preserve">GL53 7AN</t>
  </si>
  <si>
    <t xml:space="preserve">0300 422 2222</t>
  </si>
  <si>
    <t xml:space="preserve">http://www.gloshospitals.nhs.uk</t>
  </si>
  <si>
    <t xml:space="preserve">RTE03</t>
  </si>
  <si>
    <t xml:space="preserve">Gloucestershire Royal Hospital</t>
  </si>
  <si>
    <t xml:space="preserve">GL1 3NN</t>
  </si>
  <si>
    <t xml:space="preserve">03004 222 222</t>
  </si>
  <si>
    <t xml:space="preserve">RTE22</t>
  </si>
  <si>
    <t xml:space="preserve">Moore Cottage Hospital</t>
  </si>
  <si>
    <t xml:space="preserve">GL54 2AZ</t>
  </si>
  <si>
    <t xml:space="preserve">RTE57</t>
  </si>
  <si>
    <t xml:space="preserve">Thirlestaine Breast Centre</t>
  </si>
  <si>
    <t xml:space="preserve">GL53 7AS</t>
  </si>
  <si>
    <t xml:space="preserve">0300 422 3785</t>
  </si>
  <si>
    <t xml:space="preserve">RTE64</t>
  </si>
  <si>
    <t xml:space="preserve">Tetbury Hospital</t>
  </si>
  <si>
    <t xml:space="preserve">Tetbury</t>
  </si>
  <si>
    <t xml:space="preserve">GL8 8XB</t>
  </si>
  <si>
    <t xml:space="preserve">01666 502336</t>
  </si>
  <si>
    <t xml:space="preserve">https://tetburyhospital.co.uk</t>
  </si>
  <si>
    <t xml:space="preserve">RTFDH</t>
  </si>
  <si>
    <t xml:space="preserve">Berwick Infirmary</t>
  </si>
  <si>
    <t xml:space="preserve">Northumbria Healthcare NHS Foundation Trust</t>
  </si>
  <si>
    <t xml:space="preserve">Berwick-upon-Tweed</t>
  </si>
  <si>
    <t xml:space="preserve">Northumberland</t>
  </si>
  <si>
    <t xml:space="preserve">TD15 1LT</t>
  </si>
  <si>
    <t xml:space="preserve">0344 811 8111</t>
  </si>
  <si>
    <t xml:space="preserve">contactus@northumbria.nhs.uk</t>
  </si>
  <si>
    <t xml:space="preserve">https://www.northumbria.nhs.uk/berwick</t>
  </si>
  <si>
    <t xml:space="preserve">RTFDJ</t>
  </si>
  <si>
    <t xml:space="preserve">Alnwick Infirmary</t>
  </si>
  <si>
    <t xml:space="preserve">Alnwick</t>
  </si>
  <si>
    <t xml:space="preserve">NE66 2NS</t>
  </si>
  <si>
    <t xml:space="preserve">https://www.northumbria.nhs.uk/alnwick</t>
  </si>
  <si>
    <t xml:space="preserve">RTFDR</t>
  </si>
  <si>
    <t xml:space="preserve">Hexham General Hospital</t>
  </si>
  <si>
    <t xml:space="preserve">Hexham</t>
  </si>
  <si>
    <t xml:space="preserve">NE46 1QJ</t>
  </si>
  <si>
    <t xml:space="preserve">https://www.northumbria.nhs.uk/hexham</t>
  </si>
  <si>
    <t xml:space="preserve">RTFDU</t>
  </si>
  <si>
    <t xml:space="preserve">Haltwhistle War Memorial Hospital</t>
  </si>
  <si>
    <t xml:space="preserve">Haltwhistle</t>
  </si>
  <si>
    <t xml:space="preserve">NE49 9AJ</t>
  </si>
  <si>
    <t xml:space="preserve">https://www.northumbria.nhs.uk/haltwhistle</t>
  </si>
  <si>
    <t xml:space="preserve">RTFDX</t>
  </si>
  <si>
    <t xml:space="preserve">Blyth Community Hospital</t>
  </si>
  <si>
    <t xml:space="preserve">Blyth</t>
  </si>
  <si>
    <t xml:space="preserve">NE24 1DX</t>
  </si>
  <si>
    <t xml:space="preserve">https://www.northumbria.nhs.uk/blyth</t>
  </si>
  <si>
    <t xml:space="preserve">RTFDY</t>
  </si>
  <si>
    <t xml:space="preserve">NE27 0QJ</t>
  </si>
  <si>
    <t xml:space="preserve">RTFED</t>
  </si>
  <si>
    <t xml:space="preserve">Wansbeck General Hospital</t>
  </si>
  <si>
    <t xml:space="preserve">Ashington</t>
  </si>
  <si>
    <t xml:space="preserve">NE63 9JJ</t>
  </si>
  <si>
    <t xml:space="preserve">https://www.northumbria.nhs.uk/wansbeck</t>
  </si>
  <si>
    <t xml:space="preserve">RTFEF</t>
  </si>
  <si>
    <t xml:space="preserve">Rothbury Community Hospital</t>
  </si>
  <si>
    <t xml:space="preserve">Morpeth</t>
  </si>
  <si>
    <t xml:space="preserve">NE65 7RW</t>
  </si>
  <si>
    <t xml:space="preserve">01669 620 555</t>
  </si>
  <si>
    <t xml:space="preserve">https://www.northumbria.nhs.uk/rothbury</t>
  </si>
  <si>
    <t xml:space="preserve">RTFFS</t>
  </si>
  <si>
    <t xml:space="preserve">North Tyneside General Hospital</t>
  </si>
  <si>
    <t xml:space="preserve">North Shields</t>
  </si>
  <si>
    <t xml:space="preserve">NE29 8NH</t>
  </si>
  <si>
    <t xml:space="preserve">https://www.northumbria.nhs.uk/north-tyneside</t>
  </si>
  <si>
    <t xml:space="preserve">RTGFA</t>
  </si>
  <si>
    <t xml:space="preserve">London Road Community Hospital</t>
  </si>
  <si>
    <t xml:space="preserve">University Hospital of Derby and Burton NHS Foundation Trust</t>
  </si>
  <si>
    <t xml:space="preserve">DE1 2QY</t>
  </si>
  <si>
    <t xml:space="preserve">01332 265500</t>
  </si>
  <si>
    <t xml:space="preserve">uhdb.contactpalsderby@nhs.net</t>
  </si>
  <si>
    <t xml:space="preserve">http://www.uhdb.nhs.uk</t>
  </si>
  <si>
    <t xml:space="preserve">RTGFG</t>
  </si>
  <si>
    <t xml:space="preserve">Royal Derby Hospital</t>
  </si>
  <si>
    <t xml:space="preserve">DE22 3NE</t>
  </si>
  <si>
    <t xml:space="preserve">01332 340131</t>
  </si>
  <si>
    <t xml:space="preserve">https://www.uhdb.nhs.uk</t>
  </si>
  <si>
    <t xml:space="preserve">RTH02</t>
  </si>
  <si>
    <t xml:space="preserve">Churchill Hospital</t>
  </si>
  <si>
    <t xml:space="preserve">Oxford University Hospitals NHS Foundation Trust</t>
  </si>
  <si>
    <t xml:space="preserve">OX3 7LE</t>
  </si>
  <si>
    <t xml:space="preserve">0300 3047777</t>
  </si>
  <si>
    <t xml:space="preserve">pals@ouh.nhs.uk</t>
  </si>
  <si>
    <t xml:space="preserve">http://www.ouh.nhs.uk/hospitals/churchill/default.aspx</t>
  </si>
  <si>
    <t xml:space="preserve">RTH05</t>
  </si>
  <si>
    <t xml:space="preserve">Horton General Hospital</t>
  </si>
  <si>
    <t xml:space="preserve">OX16 9AL</t>
  </si>
  <si>
    <t xml:space="preserve">http://www.ouh.nhs.uk/hospitals/horton/default.aspx</t>
  </si>
  <si>
    <t xml:space="preserve">RTH08</t>
  </si>
  <si>
    <t xml:space="preserve">John Radcliffe Hospital</t>
  </si>
  <si>
    <t xml:space="preserve">OX3 9DU</t>
  </si>
  <si>
    <t xml:space="preserve">http://www.ouh.nhs.uk/hospitals/jr/default.aspx</t>
  </si>
  <si>
    <t xml:space="preserve">RTK01</t>
  </si>
  <si>
    <t xml:space="preserve">St Peter's Hospital</t>
  </si>
  <si>
    <t xml:space="preserve">Ashford and St Peter's Hospitals NHS Foundation Trust</t>
  </si>
  <si>
    <t xml:space="preserve">KT16 0PZ</t>
  </si>
  <si>
    <t xml:space="preserve">01932 872000</t>
  </si>
  <si>
    <t xml:space="preserve">asp-tr.patient.advice@nhs.net</t>
  </si>
  <si>
    <t xml:space="preserve">http://www.ashfordstpeters.nhs.uk</t>
  </si>
  <si>
    <t xml:space="preserve">RTK02</t>
  </si>
  <si>
    <t xml:space="preserve">Ashford Hospital</t>
  </si>
  <si>
    <t xml:space="preserve">Ashford</t>
  </si>
  <si>
    <t xml:space="preserve">TW15 3AA</t>
  </si>
  <si>
    <t xml:space="preserve">01784 884488</t>
  </si>
  <si>
    <t xml:space="preserve">RTR03</t>
  </si>
  <si>
    <t xml:space="preserve">East Cleveland Hospital</t>
  </si>
  <si>
    <t xml:space="preserve">South Tees Hospitals NHS Foundation Trust</t>
  </si>
  <si>
    <t xml:space="preserve">Saltburn-By-The-Sea</t>
  </si>
  <si>
    <t xml:space="preserve">TS12 2FF</t>
  </si>
  <si>
    <t xml:space="preserve">01287 676205</t>
  </si>
  <si>
    <t xml:space="preserve">RTR45</t>
  </si>
  <si>
    <t xml:space="preserve">Friarage Hospital</t>
  </si>
  <si>
    <t xml:space="preserve">Northallerton</t>
  </si>
  <si>
    <t xml:space="preserve">DL6 1JG</t>
  </si>
  <si>
    <t xml:space="preserve">01609 779911</t>
  </si>
  <si>
    <t xml:space="preserve">http://www.southtees.nhs.uk</t>
  </si>
  <si>
    <t xml:space="preserve">RTRAQ</t>
  </si>
  <si>
    <t xml:space="preserve">Guisborough General Hospital</t>
  </si>
  <si>
    <t xml:space="preserve">Guisborough</t>
  </si>
  <si>
    <t xml:space="preserve">TS14 6HZ</t>
  </si>
  <si>
    <t xml:space="preserve">01287 284000</t>
  </si>
  <si>
    <t xml:space="preserve">RTRAT</t>
  </si>
  <si>
    <t xml:space="preserve">The James Cook University Hospital</t>
  </si>
  <si>
    <t xml:space="preserve">Middlesbrough</t>
  </si>
  <si>
    <t xml:space="preserve">TS4 3BW</t>
  </si>
  <si>
    <t xml:space="preserve">01642 850850</t>
  </si>
  <si>
    <t xml:space="preserve">https://www.southtees.nhs.uk</t>
  </si>
  <si>
    <t xml:space="preserve">RTX02</t>
  </si>
  <si>
    <t xml:space="preserve">Royal Lancaster Infirmary</t>
  </si>
  <si>
    <t xml:space="preserve">University Hospitals Of Morecambe Bay NHS Foundation Trust</t>
  </si>
  <si>
    <t xml:space="preserve">LA1 4RP</t>
  </si>
  <si>
    <t xml:space="preserve">01524 65944</t>
  </si>
  <si>
    <t xml:space="preserve">trusthq@mbht.nhs.uk</t>
  </si>
  <si>
    <t xml:space="preserve">http://www.uhmb.nhs.uk</t>
  </si>
  <si>
    <t xml:space="preserve">RTXBU</t>
  </si>
  <si>
    <t xml:space="preserve">Furness General Hospital</t>
  </si>
  <si>
    <t xml:space="preserve">Barrow-In-Furness</t>
  </si>
  <si>
    <t xml:space="preserve">LA14 4LF</t>
  </si>
  <si>
    <t xml:space="preserve">01229 870870</t>
  </si>
  <si>
    <t xml:space="preserve">RTXBW</t>
  </si>
  <si>
    <t xml:space="preserve">Westmorland General Hospital</t>
  </si>
  <si>
    <t xml:space="preserve">Kendal</t>
  </si>
  <si>
    <t xml:space="preserve">LA9 7RG</t>
  </si>
  <si>
    <t xml:space="preserve">01539 732288</t>
  </si>
  <si>
    <t xml:space="preserve">RV346</t>
  </si>
  <si>
    <t xml:space="preserve">The Gordon Hospital</t>
  </si>
  <si>
    <t xml:space="preserve">Central and North West London NHS Foundation Trust</t>
  </si>
  <si>
    <t xml:space="preserve">SW1V 2RH</t>
  </si>
  <si>
    <t xml:space="preserve">020 3315 8733</t>
  </si>
  <si>
    <t xml:space="preserve">http://www.cnwl.nhs.uk/services/acute</t>
  </si>
  <si>
    <t xml:space="preserve">RV3AN</t>
  </si>
  <si>
    <t xml:space="preserve">The Riverside Centre</t>
  </si>
  <si>
    <t xml:space="preserve">RV502</t>
  </si>
  <si>
    <t xml:space="preserve">Lambeth Hospital</t>
  </si>
  <si>
    <t xml:space="preserve">South London and Maudsley NHS Foundation Trust</t>
  </si>
  <si>
    <t xml:space="preserve">SW9 9NU</t>
  </si>
  <si>
    <t xml:space="preserve">020 3228 6000</t>
  </si>
  <si>
    <t xml:space="preserve">http://www.slam.nhs.uk/our-services/hospital-care/lambeth-hospital</t>
  </si>
  <si>
    <t xml:space="preserve">RV504</t>
  </si>
  <si>
    <t xml:space="preserve">Maudsley Hospital</t>
  </si>
  <si>
    <t xml:space="preserve">SE5 8AZ</t>
  </si>
  <si>
    <t xml:space="preserve">http://www.slam.nhs.uk/our-services/hospital-care/maudsley-hospital</t>
  </si>
  <si>
    <t xml:space="preserve">RV505</t>
  </si>
  <si>
    <t xml:space="preserve">Bethlem Royal Hospital</t>
  </si>
  <si>
    <t xml:space="preserve">Beckenham, London</t>
  </si>
  <si>
    <t xml:space="preserve">BR3 3BX</t>
  </si>
  <si>
    <t xml:space="preserve">http://www.slam.nhs.uk/our-services/hospital-care/bethlem-royal-hospital</t>
  </si>
  <si>
    <t xml:space="preserve">RV913</t>
  </si>
  <si>
    <t xml:space="preserve">Withernsea Hospital</t>
  </si>
  <si>
    <t xml:space="preserve">Withernsea</t>
  </si>
  <si>
    <t xml:space="preserve">North Humberside</t>
  </si>
  <si>
    <t xml:space="preserve">HU19 2QB</t>
  </si>
  <si>
    <t xml:space="preserve">01964 614666</t>
  </si>
  <si>
    <t xml:space="preserve">hnf-tr.contactus@nhs.net</t>
  </si>
  <si>
    <t xml:space="preserve">http://www.humber.nhs.uk</t>
  </si>
  <si>
    <t xml:space="preserve">RV933</t>
  </si>
  <si>
    <t xml:space="preserve">Westlands - Inpatient Unit</t>
  </si>
  <si>
    <t xml:space="preserve">HU3 5QE</t>
  </si>
  <si>
    <t xml:space="preserve">01482 335647</t>
  </si>
  <si>
    <t xml:space="preserve">RV934</t>
  </si>
  <si>
    <t xml:space="preserve">Newbridges - Inpatient Unit</t>
  </si>
  <si>
    <t xml:space="preserve">HU9 2BH</t>
  </si>
  <si>
    <t xml:space="preserve">01482 335829</t>
  </si>
  <si>
    <t xml:space="preserve">RV938</t>
  </si>
  <si>
    <t xml:space="preserve">Maister Lodge - Inpatient Unit</t>
  </si>
  <si>
    <t xml:space="preserve">HU8 0RB</t>
  </si>
  <si>
    <t xml:space="preserve">01482 303775</t>
  </si>
  <si>
    <t xml:space="preserve">RV941</t>
  </si>
  <si>
    <t xml:space="preserve">Hawthorne Court - Inpatient Unit</t>
  </si>
  <si>
    <t xml:space="preserve">Beverley</t>
  </si>
  <si>
    <t xml:space="preserve">HU17 7AS</t>
  </si>
  <si>
    <t xml:space="preserve">01482 336830</t>
  </si>
  <si>
    <t xml:space="preserve">RV945</t>
  </si>
  <si>
    <t xml:space="preserve">Avondale Assessment Unit and Psychiatric Intensive Care Unit</t>
  </si>
  <si>
    <t xml:space="preserve">HU3 2RT</t>
  </si>
  <si>
    <t xml:space="preserve">01482 617565</t>
  </si>
  <si>
    <t xml:space="preserve">RVJ01</t>
  </si>
  <si>
    <t xml:space="preserve">Southmead Hospital</t>
  </si>
  <si>
    <t xml:space="preserve">North Bristol NHS Trust</t>
  </si>
  <si>
    <t xml:space="preserve">BS10 5NB</t>
  </si>
  <si>
    <t xml:space="preserve">0117 9505050</t>
  </si>
  <si>
    <t xml:space="preserve">complaints@nbt.nhs.uk</t>
  </si>
  <si>
    <t xml:space="preserve">http://www.nbt.nhs.uk</t>
  </si>
  <si>
    <t xml:space="preserve">RVJ20</t>
  </si>
  <si>
    <t xml:space="preserve">Frenchay Hospital</t>
  </si>
  <si>
    <t xml:space="preserve">BS16 1LE</t>
  </si>
  <si>
    <t xml:space="preserve">RVJ21</t>
  </si>
  <si>
    <t xml:space="preserve">Cossham Hospital</t>
  </si>
  <si>
    <t xml:space="preserve">BS15 1LF</t>
  </si>
  <si>
    <t xml:space="preserve">0117 340 8400</t>
  </si>
  <si>
    <t xml:space="preserve">RVN2B</t>
  </si>
  <si>
    <t xml:space="preserve">St Martins Hospital (Bath)</t>
  </si>
  <si>
    <t xml:space="preserve">Avon and Wiltshire Mental Health Partnership NHS Trust</t>
  </si>
  <si>
    <t xml:space="preserve">BA2 5RP</t>
  </si>
  <si>
    <t xml:space="preserve">01225 831500</t>
  </si>
  <si>
    <t xml:space="preserve">http://www.awp.nhs.uk</t>
  </si>
  <si>
    <t xml:space="preserve">RVN3Q</t>
  </si>
  <si>
    <t xml:space="preserve">Blackberry Hill Hospital</t>
  </si>
  <si>
    <t xml:space="preserve">BS16 2EW</t>
  </si>
  <si>
    <t xml:space="preserve">0117 3784012</t>
  </si>
  <si>
    <t xml:space="preserve">RVN6A</t>
  </si>
  <si>
    <t xml:space="preserve">Wiltshire IAPT</t>
  </si>
  <si>
    <t xml:space="preserve">SN10 5DS</t>
  </si>
  <si>
    <t xml:space="preserve">01380 731335</t>
  </si>
  <si>
    <t xml:space="preserve">awp.wilts-iapt@nhs.net</t>
  </si>
  <si>
    <t xml:space="preserve">https://iapt-wilts.awp.nhs.uk</t>
  </si>
  <si>
    <t xml:space="preserve">RVNEQ</t>
  </si>
  <si>
    <t xml:space="preserve">Callington Road Hospital</t>
  </si>
  <si>
    <t xml:space="preserve">BS4 5BJ</t>
  </si>
  <si>
    <t xml:space="preserve">0117 919 5600</t>
  </si>
  <si>
    <t xml:space="preserve">RVR05</t>
  </si>
  <si>
    <t xml:space="preserve">St Helier Hospital</t>
  </si>
  <si>
    <t xml:space="preserve">Epsom and St Helier University Hospitals NHS Trust</t>
  </si>
  <si>
    <t xml:space="preserve">Carshalton</t>
  </si>
  <si>
    <t xml:space="preserve">SM5 1AA</t>
  </si>
  <si>
    <t xml:space="preserve">020 8296 2000</t>
  </si>
  <si>
    <t xml:space="preserve">pals@epsom-sthelier.nhs.uk</t>
  </si>
  <si>
    <t xml:space="preserve">http://www.epsom-sthelier.nhs.uk</t>
  </si>
  <si>
    <t xml:space="preserve">RVR06</t>
  </si>
  <si>
    <t xml:space="preserve">Sutton Hospital</t>
  </si>
  <si>
    <t xml:space="preserve">SM2 5NF</t>
  </si>
  <si>
    <t xml:space="preserve">est-tr.pals@nhs.net</t>
  </si>
  <si>
    <t xml:space="preserve">RVR07</t>
  </si>
  <si>
    <t xml:space="preserve">Queen Mary's Hospital For Children</t>
  </si>
  <si>
    <t xml:space="preserve">RVR50</t>
  </si>
  <si>
    <t xml:space="preserve">Epsom Hospital</t>
  </si>
  <si>
    <t xml:space="preserve">Epsom</t>
  </si>
  <si>
    <t xml:space="preserve">KT18 7EG</t>
  </si>
  <si>
    <t xml:space="preserve">01372 735 735</t>
  </si>
  <si>
    <t xml:space="preserve">RVV01</t>
  </si>
  <si>
    <t xml:space="preserve">William Harvey Hospital (Ashford)</t>
  </si>
  <si>
    <t xml:space="preserve">East Kent Hospitals University NHS Foundation Trust</t>
  </si>
  <si>
    <t xml:space="preserve">TN24 0LZ</t>
  </si>
  <si>
    <t xml:space="preserve">01233 633331</t>
  </si>
  <si>
    <t xml:space="preserve">http://www.ekhuft.nhs.uk/williamharvey</t>
  </si>
  <si>
    <t xml:space="preserve">RVV02</t>
  </si>
  <si>
    <t xml:space="preserve">Buckland Hospital</t>
  </si>
  <si>
    <t xml:space="preserve">Dover</t>
  </si>
  <si>
    <t xml:space="preserve">CT17 0HD</t>
  </si>
  <si>
    <t xml:space="preserve">01304 222510</t>
  </si>
  <si>
    <t xml:space="preserve">http://www.ekhuft.nhs.uk/buckland</t>
  </si>
  <si>
    <t xml:space="preserve">RVV09</t>
  </si>
  <si>
    <t xml:space="preserve">Queen Elizabeth The Queen Mother Hospital</t>
  </si>
  <si>
    <t xml:space="preserve">Margate</t>
  </si>
  <si>
    <t xml:space="preserve">CT9 4AN</t>
  </si>
  <si>
    <t xml:space="preserve">01843 225544</t>
  </si>
  <si>
    <t xml:space="preserve">http://www.ekhuft.nhs.uk/qeqm</t>
  </si>
  <si>
    <t xml:space="preserve">RVVKC</t>
  </si>
  <si>
    <t xml:space="preserve">Kent and Canterbury Hospital</t>
  </si>
  <si>
    <t xml:space="preserve">CT1 3NG</t>
  </si>
  <si>
    <t xml:space="preserve">01227 766877</t>
  </si>
  <si>
    <t xml:space="preserve">http://www.ekhuft.nhs.uk/kentandcanterburyhospital</t>
  </si>
  <si>
    <t xml:space="preserve">RVWAA</t>
  </si>
  <si>
    <t xml:space="preserve">University Hospital Of Hartlepool</t>
  </si>
  <si>
    <t xml:space="preserve">North Tees and Hartlepool NHS Foundation Trust</t>
  </si>
  <si>
    <t xml:space="preserve">Hartlepool</t>
  </si>
  <si>
    <t xml:space="preserve">TS24 9AH</t>
  </si>
  <si>
    <t xml:space="preserve">01642 617617</t>
  </si>
  <si>
    <t xml:space="preserve">communications@nth.nhs.uk</t>
  </si>
  <si>
    <t xml:space="preserve">http://www.nth.nhs.uk</t>
  </si>
  <si>
    <t xml:space="preserve">RVWAE</t>
  </si>
  <si>
    <t xml:space="preserve">University Hospital Of North Tees</t>
  </si>
  <si>
    <t xml:space="preserve">TS19 8PE</t>
  </si>
  <si>
    <t xml:space="preserve">RVY01</t>
  </si>
  <si>
    <t xml:space="preserve">Southport and Formby District General Hospital</t>
  </si>
  <si>
    <t xml:space="preserve">Southport and Ormskirk Hospital NHS Trust</t>
  </si>
  <si>
    <t xml:space="preserve">Southport</t>
  </si>
  <si>
    <t xml:space="preserve">PR8 6PN</t>
  </si>
  <si>
    <t xml:space="preserve">01704 547471</t>
  </si>
  <si>
    <t xml:space="preserve">soh-tr.info@nhs.net</t>
  </si>
  <si>
    <t xml:space="preserve">http://www.southportandormskirk.nhs.uk</t>
  </si>
  <si>
    <t xml:space="preserve">RVY02</t>
  </si>
  <si>
    <t xml:space="preserve">Ormskirk and District General Hospital</t>
  </si>
  <si>
    <t xml:space="preserve">L39 2AZ</t>
  </si>
  <si>
    <t xml:space="preserve">01695 577111</t>
  </si>
  <si>
    <t xml:space="preserve">RW154</t>
  </si>
  <si>
    <t xml:space="preserve">Moorgreen Hospital</t>
  </si>
  <si>
    <t xml:space="preserve">SO30 3JB</t>
  </si>
  <si>
    <t xml:space="preserve">023 8047 5200</t>
  </si>
  <si>
    <t xml:space="preserve">http://www.southernhealth.nhs.uk</t>
  </si>
  <si>
    <t xml:space="preserve">RW1M5</t>
  </si>
  <si>
    <t xml:space="preserve">Fareham Community Hospital</t>
  </si>
  <si>
    <t xml:space="preserve">Fareham</t>
  </si>
  <si>
    <t xml:space="preserve">SO31 7DQ</t>
  </si>
  <si>
    <t xml:space="preserve">01489 587400</t>
  </si>
  <si>
    <t xml:space="preserve">http://www.southernhealth.nhs.uk/services/community-health-services/hospitals/fareham</t>
  </si>
  <si>
    <t xml:space="preserve">RW404</t>
  </si>
  <si>
    <t xml:space="preserve">Ashworth Hospital</t>
  </si>
  <si>
    <t xml:space="preserve">Mersey Care NHS Foundation Trust</t>
  </si>
  <si>
    <t xml:space="preserve">L31 1HW</t>
  </si>
  <si>
    <t xml:space="preserve">0151 473 0303</t>
  </si>
  <si>
    <t xml:space="preserve">https://www.merseycare.nhs.uk/our-services/our-sites/ashworth-hospital</t>
  </si>
  <si>
    <t xml:space="preserve">RW5EF</t>
  </si>
  <si>
    <t xml:space="preserve">Ribbleton Hospital</t>
  </si>
  <si>
    <t xml:space="preserve">Lancashire &amp; South Cumbria NHS Foundation Trust</t>
  </si>
  <si>
    <t xml:space="preserve">PR2 6LS</t>
  </si>
  <si>
    <t xml:space="preserve">01772 401600</t>
  </si>
  <si>
    <t xml:space="preserve">RW5LC</t>
  </si>
  <si>
    <t xml:space="preserve">Queen Victoria Hospital</t>
  </si>
  <si>
    <t xml:space="preserve">Morecambe</t>
  </si>
  <si>
    <t xml:space="preserve">LA4 5NN</t>
  </si>
  <si>
    <t xml:space="preserve">01524 400445</t>
  </si>
  <si>
    <t xml:space="preserve">RW601</t>
  </si>
  <si>
    <t xml:space="preserve">Fairfield General Hospital</t>
  </si>
  <si>
    <t xml:space="preserve">Pennine Acute Hospitals NHS Trust</t>
  </si>
  <si>
    <t xml:space="preserve">Bury</t>
  </si>
  <si>
    <t xml:space="preserve">BL9 7TD</t>
  </si>
  <si>
    <t xml:space="preserve">0161 624 0420</t>
  </si>
  <si>
    <t xml:space="preserve">http://www.pat.nhs.uk</t>
  </si>
  <si>
    <t xml:space="preserve">RW602</t>
  </si>
  <si>
    <t xml:space="preserve">North Manchester General Hospital</t>
  </si>
  <si>
    <t xml:space="preserve">M8 5RB</t>
  </si>
  <si>
    <t xml:space="preserve">RW603</t>
  </si>
  <si>
    <t xml:space="preserve">Royal Oldham Hospital</t>
  </si>
  <si>
    <t xml:space="preserve">Oldham</t>
  </si>
  <si>
    <t xml:space="preserve">OL1 2JH</t>
  </si>
  <si>
    <t xml:space="preserve">RW604</t>
  </si>
  <si>
    <t xml:space="preserve">Rochdale Infirmary</t>
  </si>
  <si>
    <t xml:space="preserve">OL12 0NB</t>
  </si>
  <si>
    <t xml:space="preserve">RW605</t>
  </si>
  <si>
    <t xml:space="preserve">Birch Hill Hospital (Floyd Unit)</t>
  </si>
  <si>
    <t xml:space="preserve">OL12 9QB</t>
  </si>
  <si>
    <t xml:space="preserve">01706 377777</t>
  </si>
  <si>
    <t xml:space="preserve">RWA01</t>
  </si>
  <si>
    <t xml:space="preserve">Hull Royal Infirmary</t>
  </si>
  <si>
    <t xml:space="preserve">Hull University Teaching Hospitals NHS Trust</t>
  </si>
  <si>
    <t xml:space="preserve">HU3 2JZ</t>
  </si>
  <si>
    <t xml:space="preserve">01482 875875</t>
  </si>
  <si>
    <t xml:space="preserve">https://www.hey.nhs.uk</t>
  </si>
  <si>
    <t xml:space="preserve">RWA16</t>
  </si>
  <si>
    <t xml:space="preserve">Castle Hill Hospital</t>
  </si>
  <si>
    <t xml:space="preserve">Cottingham</t>
  </si>
  <si>
    <t xml:space="preserve">HU16 5JQ</t>
  </si>
  <si>
    <t xml:space="preserve">RWDDA</t>
  </si>
  <si>
    <t xml:space="preserve">Lincoln County Hospital</t>
  </si>
  <si>
    <t xml:space="preserve">United Lincolnshire Hospitals NHS Trust</t>
  </si>
  <si>
    <t xml:space="preserve">01522 512512</t>
  </si>
  <si>
    <t xml:space="preserve">http://www.ulh.nhs.uk</t>
  </si>
  <si>
    <t xml:space="preserve">RWDLA</t>
  </si>
  <si>
    <t xml:space="preserve">Pilgrim Hospital</t>
  </si>
  <si>
    <t xml:space="preserve">PE21 9QS</t>
  </si>
  <si>
    <t xml:space="preserve">01205 364801</t>
  </si>
  <si>
    <t xml:space="preserve">RWE10</t>
  </si>
  <si>
    <t xml:space="preserve">University Hospitals Of Leicester NHS Trust</t>
  </si>
  <si>
    <t xml:space="preserve">Melton Mowbray</t>
  </si>
  <si>
    <t xml:space="preserve">LE13 1SJ</t>
  </si>
  <si>
    <t xml:space="preserve">01664 854800</t>
  </si>
  <si>
    <t xml:space="preserve">http://www.uhl-tr.nhs.uk/our-services/medical-services/i-n/maternity-services/st-marys-birth-centre</t>
  </si>
  <si>
    <t xml:space="preserve">RWEAA</t>
  </si>
  <si>
    <t xml:space="preserve">Leicester Royal Infirmary</t>
  </si>
  <si>
    <t xml:space="preserve">LE1 5WW</t>
  </si>
  <si>
    <t xml:space="preserve">0300 303 1573</t>
  </si>
  <si>
    <t xml:space="preserve">http://www.leicestershospitals.nhs.uk</t>
  </si>
  <si>
    <t xml:space="preserve">RWEAE</t>
  </si>
  <si>
    <t xml:space="preserve">Glenfield Hospital</t>
  </si>
  <si>
    <t xml:space="preserve">LE3 9QP</t>
  </si>
  <si>
    <t xml:space="preserve">communications@uhl-tr.nhs.uk</t>
  </si>
  <si>
    <t xml:space="preserve">RWEAK</t>
  </si>
  <si>
    <t xml:space="preserve">Leicester General Hospital</t>
  </si>
  <si>
    <t xml:space="preserve">LE5 4PW</t>
  </si>
  <si>
    <t xml:space="preserve">RWF03</t>
  </si>
  <si>
    <t xml:space="preserve">Maidstone Hospital</t>
  </si>
  <si>
    <t xml:space="preserve">Maidstone and Tunbridge Wells NHS Trust</t>
  </si>
  <si>
    <t xml:space="preserve">Maidstone</t>
  </si>
  <si>
    <t xml:space="preserve">ME16 9QQ</t>
  </si>
  <si>
    <t xml:space="preserve">01622 729000</t>
  </si>
  <si>
    <t xml:space="preserve">mtw-tr.palsoffice@nhs.net</t>
  </si>
  <si>
    <t xml:space="preserve">http://www.mtw.nhs.uk</t>
  </si>
  <si>
    <t xml:space="preserve">RWF35</t>
  </si>
  <si>
    <t xml:space="preserve">Stone House Hospital</t>
  </si>
  <si>
    <t xml:space="preserve">DA2 6AU</t>
  </si>
  <si>
    <t xml:space="preserve">01322 622222</t>
  </si>
  <si>
    <t xml:space="preserve">RWFTW</t>
  </si>
  <si>
    <t xml:space="preserve">Tunbridge Wells Hospital at Pembury</t>
  </si>
  <si>
    <t xml:space="preserve">TN2 4QJ</t>
  </si>
  <si>
    <t xml:space="preserve">01892 823535</t>
  </si>
  <si>
    <t xml:space="preserve">RWG02</t>
  </si>
  <si>
    <t xml:space="preserve">Watford General Hospital</t>
  </si>
  <si>
    <t xml:space="preserve">West Hertfordshire Hospitals NHS Trust</t>
  </si>
  <si>
    <t xml:space="preserve">Watford</t>
  </si>
  <si>
    <t xml:space="preserve">WD18 0HB</t>
  </si>
  <si>
    <t xml:space="preserve">01923 244366</t>
  </si>
  <si>
    <t xml:space="preserve">communications@whht.nhs.uk</t>
  </si>
  <si>
    <t xml:space="preserve">https://www.westhertshospitals.nhs.uk</t>
  </si>
  <si>
    <t xml:space="preserve">RWG03</t>
  </si>
  <si>
    <t xml:space="preserve">St Albans City Hospital</t>
  </si>
  <si>
    <t xml:space="preserve">St. Albans</t>
  </si>
  <si>
    <t xml:space="preserve">AL3 5PN</t>
  </si>
  <si>
    <t xml:space="preserve">01727 866122</t>
  </si>
  <si>
    <t xml:space="preserve">RWG08</t>
  </si>
  <si>
    <t xml:space="preserve">Hemel Hempstead Hospital</t>
  </si>
  <si>
    <t xml:space="preserve">HP2 4AD</t>
  </si>
  <si>
    <t xml:space="preserve">01442 213141</t>
  </si>
  <si>
    <t xml:space="preserve">RWH01</t>
  </si>
  <si>
    <t xml:space="preserve">Lister Hospital</t>
  </si>
  <si>
    <t xml:space="preserve">East and North Hertfordshire NHS Trust</t>
  </si>
  <si>
    <t xml:space="preserve">Stevenage</t>
  </si>
  <si>
    <t xml:space="preserve">SG1 4AB</t>
  </si>
  <si>
    <t xml:space="preserve">01438 314333</t>
  </si>
  <si>
    <t xml:space="preserve">http://www.enherts-tr.nhs.uk</t>
  </si>
  <si>
    <t xml:space="preserve">RWH20</t>
  </si>
  <si>
    <t xml:space="preserve">New QEII Hospital</t>
  </si>
  <si>
    <t xml:space="preserve">Welwyn Garden City</t>
  </si>
  <si>
    <t xml:space="preserve">AL7 4HQ</t>
  </si>
  <si>
    <t xml:space="preserve">http://www.newqeii.info</t>
  </si>
  <si>
    <t xml:space="preserve">RWH23</t>
  </si>
  <si>
    <t xml:space="preserve">Hertford County Hospital</t>
  </si>
  <si>
    <t xml:space="preserve">Hertford</t>
  </si>
  <si>
    <t xml:space="preserve">SG14 1LP</t>
  </si>
  <si>
    <t xml:space="preserve">http://www.enherts-tr.nhs.uk/our-hospitals/hertford-county</t>
  </si>
  <si>
    <t xml:space="preserve">RWJ09</t>
  </si>
  <si>
    <t xml:space="preserve">Stepping Hill Hospital</t>
  </si>
  <si>
    <t xml:space="preserve">Stockport NHS Foundation Trust</t>
  </si>
  <si>
    <t xml:space="preserve">Stockport</t>
  </si>
  <si>
    <t xml:space="preserve">SK2 7JE</t>
  </si>
  <si>
    <t xml:space="preserve">0161 483 1010</t>
  </si>
  <si>
    <t xml:space="preserve">pcs@stockport.nhs.uk</t>
  </si>
  <si>
    <t xml:space="preserve">http://www.stockport.nhs.uk</t>
  </si>
  <si>
    <t xml:space="preserve">RWK61</t>
  </si>
  <si>
    <t xml:space="preserve">The Tower Hamlets Centre For Mental Health</t>
  </si>
  <si>
    <t xml:space="preserve">East London NHS Foundation Trust</t>
  </si>
  <si>
    <t xml:space="preserve">020 8121 5001</t>
  </si>
  <si>
    <t xml:space="preserve">http://www.elcmht.nhs.uk</t>
  </si>
  <si>
    <t xml:space="preserve">RWP01</t>
  </si>
  <si>
    <t xml:space="preserve">Alexandra Hospital</t>
  </si>
  <si>
    <t xml:space="preserve">Worcestershire Acute Hospitals NHS Trust</t>
  </si>
  <si>
    <t xml:space="preserve">Redditch</t>
  </si>
  <si>
    <t xml:space="preserve">B98 7UB</t>
  </si>
  <si>
    <t xml:space="preserve">01527 503 030</t>
  </si>
  <si>
    <t xml:space="preserve">wah-tr.pet@nhs.net</t>
  </si>
  <si>
    <t xml:space="preserve">http://www.worcsacute.nhs.uk/our-hospitals/alexandra-hospital-redditch</t>
  </si>
  <si>
    <t xml:space="preserve">RWP31</t>
  </si>
  <si>
    <t xml:space="preserve">Kidderminster Hospital &amp; Treatment Centre</t>
  </si>
  <si>
    <t xml:space="preserve">Kidderminster</t>
  </si>
  <si>
    <t xml:space="preserve">DY11 6RJ</t>
  </si>
  <si>
    <t xml:space="preserve">01562 823 424</t>
  </si>
  <si>
    <t xml:space="preserve">http://www.worcsacute.nhs.uk/our-hospitals/kidderminster-hospital-and-treatment-centre</t>
  </si>
  <si>
    <t xml:space="preserve">RWP50</t>
  </si>
  <si>
    <t xml:space="preserve">Worcestershire Royal Hospital</t>
  </si>
  <si>
    <t xml:space="preserve">WR5 1DD</t>
  </si>
  <si>
    <t xml:space="preserve">01905 763 333</t>
  </si>
  <si>
    <t xml:space="preserve">http://www.worcsacute.nhs.uk/our-hospitals/worcestershire-royal-hospital</t>
  </si>
  <si>
    <t xml:space="preserve">RWV62</t>
  </si>
  <si>
    <t xml:space="preserve">Wonford House</t>
  </si>
  <si>
    <t xml:space="preserve">Devon Partnership NHS Trust</t>
  </si>
  <si>
    <t xml:space="preserve">EX2 5AF</t>
  </si>
  <si>
    <t xml:space="preserve">01392 208866</t>
  </si>
  <si>
    <t xml:space="preserve">dpn-tr.pals@nhs.net</t>
  </si>
  <si>
    <t xml:space="preserve">http://www.dpt.nhs.uk</t>
  </si>
  <si>
    <t xml:space="preserve">RWV98</t>
  </si>
  <si>
    <t xml:space="preserve">Franklyn Community Hospital</t>
  </si>
  <si>
    <t xml:space="preserve">EX2 9HS</t>
  </si>
  <si>
    <t xml:space="preserve">01392 674300</t>
  </si>
  <si>
    <t xml:space="preserve">RWWHG</t>
  </si>
  <si>
    <t xml:space="preserve">Halton General Hospital</t>
  </si>
  <si>
    <t xml:space="preserve">Warrington and Halton Hospitals NHS Foundation Trust</t>
  </si>
  <si>
    <t xml:space="preserve">Runcorn</t>
  </si>
  <si>
    <t xml:space="preserve">WA7 2DA</t>
  </si>
  <si>
    <t xml:space="preserve">01928 714567</t>
  </si>
  <si>
    <t xml:space="preserve">whh.enquiries@nhs.net</t>
  </si>
  <si>
    <t xml:space="preserve">http://www.whh.nhs.uk</t>
  </si>
  <si>
    <t xml:space="preserve">RWWWH</t>
  </si>
  <si>
    <t xml:space="preserve">Warrington Hospital</t>
  </si>
  <si>
    <t xml:space="preserve">WA5 1QG</t>
  </si>
  <si>
    <t xml:space="preserve">01925 635911</t>
  </si>
  <si>
    <t xml:space="preserve">RWX51</t>
  </si>
  <si>
    <t xml:space="preserve">Prospect Park Hospital</t>
  </si>
  <si>
    <t xml:space="preserve">Berkshire Healthcare NHS Foundation Trust</t>
  </si>
  <si>
    <t xml:space="preserve">RG30 4EJ</t>
  </si>
  <si>
    <t xml:space="preserve">0118 960 5000</t>
  </si>
  <si>
    <t xml:space="preserve">https://www.berkshirehealthcare.nhs.uk/our-sites/reading/prospect-park-hospital</t>
  </si>
  <si>
    <t xml:space="preserve">RWY01</t>
  </si>
  <si>
    <t xml:space="preserve">Huddersfield Royal Infirmary</t>
  </si>
  <si>
    <t xml:space="preserve">Calderdale and Huddersfield NHS Foundation Trust</t>
  </si>
  <si>
    <t xml:space="preserve">HD3 3EA</t>
  </si>
  <si>
    <t xml:space="preserve">01484 342000</t>
  </si>
  <si>
    <t xml:space="preserve">communications@cht.nhs.uk</t>
  </si>
  <si>
    <t xml:space="preserve">http://www.cht.nhs.uk</t>
  </si>
  <si>
    <t xml:space="preserve">RWY02</t>
  </si>
  <si>
    <t xml:space="preserve">Calderdale Royal Hospital</t>
  </si>
  <si>
    <t xml:space="preserve">Halifax</t>
  </si>
  <si>
    <t xml:space="preserve">HX3 0PW</t>
  </si>
  <si>
    <t xml:space="preserve">01422 357171</t>
  </si>
  <si>
    <t xml:space="preserve">RX1CC</t>
  </si>
  <si>
    <t xml:space="preserve">Nottingham University Hospitals NHS Trust - City Campus</t>
  </si>
  <si>
    <t xml:space="preserve">Nottingham University Hospitals NHS Trust</t>
  </si>
  <si>
    <t xml:space="preserve">NG5 1PB</t>
  </si>
  <si>
    <t xml:space="preserve">0115 969 1169</t>
  </si>
  <si>
    <t xml:space="preserve">nuhcommunications@nuh.nhs.uk</t>
  </si>
  <si>
    <t xml:space="preserve">http://www.nuh.nhs.uk</t>
  </si>
  <si>
    <t xml:space="preserve">RX1RA</t>
  </si>
  <si>
    <t xml:space="preserve">Nottingham University Hospitals NHS Trust - Queen's Medical Centre Campus</t>
  </si>
  <si>
    <t xml:space="preserve">NG7 2UH</t>
  </si>
  <si>
    <t xml:space="preserve">0115 924 9924</t>
  </si>
  <si>
    <t xml:space="preserve">RX205</t>
  </si>
  <si>
    <t xml:space="preserve">Aldrington Centre</t>
  </si>
  <si>
    <t xml:space="preserve">Sussex Partnership NHS Foundation Trust</t>
  </si>
  <si>
    <t xml:space="preserve">BN3 4AG</t>
  </si>
  <si>
    <t xml:space="preserve">01273 718680</t>
  </si>
  <si>
    <t xml:space="preserve">info@sussexpartnership.nhs.uk</t>
  </si>
  <si>
    <t xml:space="preserve">http://www.sussexpartnership.nhs.uk/location-aldrington-centre</t>
  </si>
  <si>
    <t xml:space="preserve">RX213</t>
  </si>
  <si>
    <t xml:space="preserve">Mill View Hospital</t>
  </si>
  <si>
    <t xml:space="preserve">BN3 7HY</t>
  </si>
  <si>
    <t xml:space="preserve">01273 621984</t>
  </si>
  <si>
    <t xml:space="preserve">http://www.sussexpartnership.nhs.uk/location-mill-view-hospital</t>
  </si>
  <si>
    <t xml:space="preserve">RX224</t>
  </si>
  <si>
    <t xml:space="preserve">The Acre</t>
  </si>
  <si>
    <t xml:space="preserve">BN11 3NJ</t>
  </si>
  <si>
    <t xml:space="preserve">0300 304 0055</t>
  </si>
  <si>
    <t xml:space="preserve">http://www.sussexpartnership.nhs.uk/location-acreuk/location-acre-day-hospital</t>
  </si>
  <si>
    <t xml:space="preserve">RX2E9</t>
  </si>
  <si>
    <t xml:space="preserve">The Hellingly Centre</t>
  </si>
  <si>
    <t xml:space="preserve">Hailsham</t>
  </si>
  <si>
    <t xml:space="preserve">BN27 4EP</t>
  </si>
  <si>
    <t xml:space="preserve">01323 440022</t>
  </si>
  <si>
    <t xml:space="preserve">http://www.sussexpartnership.nhs.uk/location-hellingly-centre</t>
  </si>
  <si>
    <t xml:space="preserve">RX2F3</t>
  </si>
  <si>
    <t xml:space="preserve">Amberstone Hospital</t>
  </si>
  <si>
    <t xml:space="preserve">BN27 4HU</t>
  </si>
  <si>
    <t xml:space="preserve">http://www.sussexpartnership.nhs.uk/location-amberstone-hospital</t>
  </si>
  <si>
    <t xml:space="preserve">RX2P0</t>
  </si>
  <si>
    <t xml:space="preserve">Langley Green Hospital</t>
  </si>
  <si>
    <t xml:space="preserve">Crawley</t>
  </si>
  <si>
    <t xml:space="preserve">RH11 7EJ</t>
  </si>
  <si>
    <t xml:space="preserve">01293 590400</t>
  </si>
  <si>
    <t xml:space="preserve">http://www.sussexpartnership.nhs.uk/location-langley-green-hospital</t>
  </si>
  <si>
    <t xml:space="preserve">RX301</t>
  </si>
  <si>
    <t xml:space="preserve">Tees, Esk, Wear Valley NHS Trust (Durham)</t>
  </si>
  <si>
    <t xml:space="preserve">Tees, Esk and Wear Valleys NHS Foundation Trust</t>
  </si>
  <si>
    <t xml:space="preserve">DL2 2TS</t>
  </si>
  <si>
    <t xml:space="preserve">01325 552000</t>
  </si>
  <si>
    <t xml:space="preserve">http://www.tewv.nhs.uk</t>
  </si>
  <si>
    <t xml:space="preserve">RX3AT</t>
  </si>
  <si>
    <t xml:space="preserve">Auckland Park Hospital, Bishop Auckland</t>
  </si>
  <si>
    <t xml:space="preserve">Bishop Auckland</t>
  </si>
  <si>
    <t xml:space="preserve">DL14 6AE</t>
  </si>
  <si>
    <t xml:space="preserve">01388 645300</t>
  </si>
  <si>
    <t xml:space="preserve">http://www.tewv.nhs.uk/aucklandparkhospital</t>
  </si>
  <si>
    <t xml:space="preserve">RX3LF</t>
  </si>
  <si>
    <t xml:space="preserve">West Lane Hospital, Middlesbrough</t>
  </si>
  <si>
    <t xml:space="preserve">TS5 4EE</t>
  </si>
  <si>
    <t xml:space="preserve">03000132000 (ext. 2)</t>
  </si>
  <si>
    <t xml:space="preserve">http://www.tewv.nhs.uk/westlanehospital</t>
  </si>
  <si>
    <t xml:space="preserve">RX3MM</t>
  </si>
  <si>
    <t xml:space="preserve">West Park Hospital, Darlington</t>
  </si>
  <si>
    <t xml:space="preserve">http://www.tewv.nhs.uk/westparkhospital</t>
  </si>
  <si>
    <t xml:space="preserve">RX3NH</t>
  </si>
  <si>
    <t xml:space="preserve">Sandwell Park Hospital, Hartlepool</t>
  </si>
  <si>
    <t xml:space="preserve">TS24 8LN</t>
  </si>
  <si>
    <t xml:space="preserve">01429 285601</t>
  </si>
  <si>
    <t xml:space="preserve">http://www.tewv.nhs.uk/sandwellpark</t>
  </si>
  <si>
    <t xml:space="preserve">RX3NX</t>
  </si>
  <si>
    <t xml:space="preserve">Cross Lane Hospital, Scarborough</t>
  </si>
  <si>
    <t xml:space="preserve">Scarborough</t>
  </si>
  <si>
    <t xml:space="preserve">YO12 6DN</t>
  </si>
  <si>
    <t xml:space="preserve">01723 384600</t>
  </si>
  <si>
    <t xml:space="preserve">http://www.tewv.nhs.uk/crosslanehospital</t>
  </si>
  <si>
    <t xml:space="preserve">RX464</t>
  </si>
  <si>
    <t xml:space="preserve">Hopewood Park</t>
  </si>
  <si>
    <t xml:space="preserve">Cumbria Northumberland Tyne and Wear NHS Foundation Trust</t>
  </si>
  <si>
    <t xml:space="preserve">SR2 0NB</t>
  </si>
  <si>
    <t xml:space="preserve">0191 566 7001</t>
  </si>
  <si>
    <t xml:space="preserve">http://www.cntw.nhs.uk</t>
  </si>
  <si>
    <t xml:space="preserve">RX4Z3</t>
  </si>
  <si>
    <t xml:space="preserve">Northgate Hospital</t>
  </si>
  <si>
    <t xml:space="preserve">NE61 3BP</t>
  </si>
  <si>
    <t xml:space="preserve">0191 2466800</t>
  </si>
  <si>
    <t xml:space="preserve">RX4CA</t>
  </si>
  <si>
    <t xml:space="preserve">Ferndene</t>
  </si>
  <si>
    <t xml:space="preserve">Prudhoe</t>
  </si>
  <si>
    <t xml:space="preserve">NE42 5PB</t>
  </si>
  <si>
    <t xml:space="preserve">01661 838400</t>
  </si>
  <si>
    <t xml:space="preserve">RX4E2</t>
  </si>
  <si>
    <t xml:space="preserve">St George's Park</t>
  </si>
  <si>
    <t xml:space="preserve">NE61 2NU</t>
  </si>
  <si>
    <t xml:space="preserve">RX4E4</t>
  </si>
  <si>
    <t xml:space="preserve">St Nicholas Hospital</t>
  </si>
  <si>
    <t xml:space="preserve">NE3 3XT</t>
  </si>
  <si>
    <t xml:space="preserve">RX4K2</t>
  </si>
  <si>
    <t xml:space="preserve">Monkwearmouth Hospital</t>
  </si>
  <si>
    <t xml:space="preserve">SR5 1NB</t>
  </si>
  <si>
    <t xml:space="preserve">0191 246 6800</t>
  </si>
  <si>
    <t xml:space="preserve">https://www.cntw.nhs.uk</t>
  </si>
  <si>
    <t xml:space="preserve">RXA19</t>
  </si>
  <si>
    <t xml:space="preserve">Bowmere Hospital</t>
  </si>
  <si>
    <t xml:space="preserve">Cheshire and Wirral Partnership NHS Foundation Trust</t>
  </si>
  <si>
    <t xml:space="preserve">CH2 1BQ</t>
  </si>
  <si>
    <t xml:space="preserve">01244397300</t>
  </si>
  <si>
    <t xml:space="preserve">info@cwp.nhs.uk</t>
  </si>
  <si>
    <t xml:space="preserve">http://www.cwp.nhs.uk</t>
  </si>
  <si>
    <t xml:space="preserve">RXC01</t>
  </si>
  <si>
    <t xml:space="preserve">Conquest Hospital</t>
  </si>
  <si>
    <t xml:space="preserve">East Sussex Healthcare NHS Trust</t>
  </si>
  <si>
    <t xml:space="preserve">TN37 7RD</t>
  </si>
  <si>
    <t xml:space="preserve">0300 131 4500</t>
  </si>
  <si>
    <t xml:space="preserve">http://www.esht.nhs.uk/conquest</t>
  </si>
  <si>
    <t xml:space="preserve">RXC02</t>
  </si>
  <si>
    <t xml:space="preserve">Eastbourne District General Hospital</t>
  </si>
  <si>
    <t xml:space="preserve">Eastbourne</t>
  </si>
  <si>
    <t xml:space="preserve">BN21 2UD</t>
  </si>
  <si>
    <t xml:space="preserve">http://www.esht.nhs.uk/eastbournedgh</t>
  </si>
  <si>
    <t xml:space="preserve">RXC03</t>
  </si>
  <si>
    <t xml:space="preserve">Bexhill Hospital</t>
  </si>
  <si>
    <t xml:space="preserve">Bexhill-on-Sea</t>
  </si>
  <si>
    <t xml:space="preserve">Sussex</t>
  </si>
  <si>
    <t xml:space="preserve">TN40 2DZ</t>
  </si>
  <si>
    <t xml:space="preserve">http://www.esht.nhs.uk/bexhill</t>
  </si>
  <si>
    <t xml:space="preserve">RXEAA</t>
  </si>
  <si>
    <t xml:space="preserve">Tickhill Road Hospital</t>
  </si>
  <si>
    <t xml:space="preserve">Rotherham Doncaster and South Humber NHS Foundation Trust</t>
  </si>
  <si>
    <t xml:space="preserve">DN4 8QN</t>
  </si>
  <si>
    <t xml:space="preserve">01302 796000</t>
  </si>
  <si>
    <t xml:space="preserve">http://www.rdash.nhs.uk</t>
  </si>
  <si>
    <t xml:space="preserve">RXF03</t>
  </si>
  <si>
    <t xml:space="preserve">Pontefract Hospital</t>
  </si>
  <si>
    <t xml:space="preserve">Mid Yorkshire Hospitals NHS Trust</t>
  </si>
  <si>
    <t xml:space="preserve">Pontefract</t>
  </si>
  <si>
    <t xml:space="preserve">WF8 1PL</t>
  </si>
  <si>
    <t xml:space="preserve">01924 541000</t>
  </si>
  <si>
    <t xml:space="preserve">http://www.midyorks.nhs.uk</t>
  </si>
  <si>
    <t xml:space="preserve">RXF05</t>
  </si>
  <si>
    <t xml:space="preserve">Pinderfields Hospital</t>
  </si>
  <si>
    <t xml:space="preserve">Wakefield</t>
  </si>
  <si>
    <t xml:space="preserve">WF1 4DG</t>
  </si>
  <si>
    <t xml:space="preserve">RXF10</t>
  </si>
  <si>
    <t xml:space="preserve">Dewsbury and District Hospital</t>
  </si>
  <si>
    <t xml:space="preserve">Dewsbury</t>
  </si>
  <si>
    <t xml:space="preserve">WF13 4HS</t>
  </si>
  <si>
    <t xml:space="preserve">RXG10</t>
  </si>
  <si>
    <t xml:space="preserve">Fieldhead Hospital</t>
  </si>
  <si>
    <t xml:space="preserve">South West Yorkshire Partnership NHS Foundation Trust</t>
  </si>
  <si>
    <t xml:space="preserve">WF1 3SP</t>
  </si>
  <si>
    <t xml:space="preserve">01924 316000</t>
  </si>
  <si>
    <t xml:space="preserve">customer.servicesswyt@nhs.net</t>
  </si>
  <si>
    <t xml:space="preserve">http://www.southwestyorkshire.nhs.uk</t>
  </si>
  <si>
    <t xml:space="preserve">RXG82</t>
  </si>
  <si>
    <t xml:space="preserve">Kendray Hospital</t>
  </si>
  <si>
    <t xml:space="preserve">S70 3RD</t>
  </si>
  <si>
    <t xml:space="preserve">01226 644400</t>
  </si>
  <si>
    <t xml:space="preserve">RXH01</t>
  </si>
  <si>
    <t xml:space="preserve">Royal Sussex County Hospital</t>
  </si>
  <si>
    <t xml:space="preserve">Brighton and Sussex University Hospitals NHS Trust</t>
  </si>
  <si>
    <t xml:space="preserve">BN2 5BE</t>
  </si>
  <si>
    <t xml:space="preserve">01273 696955</t>
  </si>
  <si>
    <t xml:space="preserve">http://www.bsuh.nhs.uk</t>
  </si>
  <si>
    <t xml:space="preserve">RXH05</t>
  </si>
  <si>
    <t xml:space="preserve">Brighton General Hospital</t>
  </si>
  <si>
    <t xml:space="preserve">BN2 3EW</t>
  </si>
  <si>
    <t xml:space="preserve">01273 696011</t>
  </si>
  <si>
    <t xml:space="preserve">sct.communications@nhs.net</t>
  </si>
  <si>
    <t xml:space="preserve">http://www.sussexcommunity.nhs.uk</t>
  </si>
  <si>
    <t xml:space="preserve">RXH06</t>
  </si>
  <si>
    <t xml:space="preserve">Royal Alexandra Children's Hospital</t>
  </si>
  <si>
    <t xml:space="preserve">RXH07</t>
  </si>
  <si>
    <t xml:space="preserve">Sussex Eye Hospital</t>
  </si>
  <si>
    <t xml:space="preserve">BN2 5BF</t>
  </si>
  <si>
    <t xml:space="preserve">RXH09</t>
  </si>
  <si>
    <t xml:space="preserve">Princess Royal Hospital</t>
  </si>
  <si>
    <t xml:space="preserve">RH16 4EX</t>
  </si>
  <si>
    <t xml:space="preserve">01444 441881</t>
  </si>
  <si>
    <t xml:space="preserve">RXK01</t>
  </si>
  <si>
    <t xml:space="preserve">Sandwell District General Hospital</t>
  </si>
  <si>
    <t xml:space="preserve">Sandwell and West Birmingham Hospitals NHS Trust</t>
  </si>
  <si>
    <t xml:space="preserve">West Bromwich</t>
  </si>
  <si>
    <t xml:space="preserve">B71 4HJ</t>
  </si>
  <si>
    <t xml:space="preserve">0121 553 1831</t>
  </si>
  <si>
    <t xml:space="preserve">http://www.swbh.nhs.uk</t>
  </si>
  <si>
    <t xml:space="preserve">RXK02</t>
  </si>
  <si>
    <t xml:space="preserve">City Hospital</t>
  </si>
  <si>
    <t xml:space="preserve">B18 7QH</t>
  </si>
  <si>
    <t xml:space="preserve">0121 554 3801</t>
  </si>
  <si>
    <t xml:space="preserve">RXK10</t>
  </si>
  <si>
    <t xml:space="preserve">Rowley Regis Hospital</t>
  </si>
  <si>
    <t xml:space="preserve">Rowley Regis</t>
  </si>
  <si>
    <t xml:space="preserve">B65 8DA</t>
  </si>
  <si>
    <t xml:space="preserve">0121 507 6300</t>
  </si>
  <si>
    <t xml:space="preserve">RXL01</t>
  </si>
  <si>
    <t xml:space="preserve">Blackpool Victoria Hospital</t>
  </si>
  <si>
    <t xml:space="preserve">Blackpool Teaching Hospitals NHS Foundation Trust</t>
  </si>
  <si>
    <t xml:space="preserve">FY3 8NR</t>
  </si>
  <si>
    <t xml:space="preserve">01253 300000</t>
  </si>
  <si>
    <t xml:space="preserve">communications@bfwhospitals.nhs.uk</t>
  </si>
  <si>
    <t xml:space="preserve">http://www.bfwhospitals.nhs.uk</t>
  </si>
  <si>
    <t xml:space="preserve">RXL06</t>
  </si>
  <si>
    <t xml:space="preserve">Clifton Hospital</t>
  </si>
  <si>
    <t xml:space="preserve">Lytham St. Annes</t>
  </si>
  <si>
    <t xml:space="preserve">FY8 1PB</t>
  </si>
  <si>
    <t xml:space="preserve">bfwh.trustcommunications@nhs.net</t>
  </si>
  <si>
    <t xml:space="preserve">https://www.bfwh.nhs.uk</t>
  </si>
  <si>
    <t xml:space="preserve">RXL64</t>
  </si>
  <si>
    <t xml:space="preserve">Lancashire Bowel Cancer Screening Programme - Fleetwood Hospital</t>
  </si>
  <si>
    <t xml:space="preserve">Fleetwood</t>
  </si>
  <si>
    <t xml:space="preserve">FY7 6BE</t>
  </si>
  <si>
    <t xml:space="preserve">RXN01</t>
  </si>
  <si>
    <t xml:space="preserve">Chorley and South Ribble Hospital</t>
  </si>
  <si>
    <t xml:space="preserve">Lancashire Teaching Hospitals NHS Foundation Trust</t>
  </si>
  <si>
    <t xml:space="preserve">PR7 1PP</t>
  </si>
  <si>
    <t xml:space="preserve">01257 261222</t>
  </si>
  <si>
    <t xml:space="preserve">enquiries@lthtr.nhs.uk</t>
  </si>
  <si>
    <t xml:space="preserve">https://www.lancsteachinghospitals.nhs.uk</t>
  </si>
  <si>
    <t xml:space="preserve">RXN02</t>
  </si>
  <si>
    <t xml:space="preserve">Royal Preston Hospital</t>
  </si>
  <si>
    <t xml:space="preserve">PR2 9HT</t>
  </si>
  <si>
    <t xml:space="preserve">01772 716565</t>
  </si>
  <si>
    <t xml:space="preserve">http://www.lancsteachinghospitals.nhs.uk</t>
  </si>
  <si>
    <t xml:space="preserve">RXPBA</t>
  </si>
  <si>
    <t xml:space="preserve">Bishop Auckland Hospital</t>
  </si>
  <si>
    <t xml:space="preserve">DL14 6AD</t>
  </si>
  <si>
    <t xml:space="preserve">01388 455000</t>
  </si>
  <si>
    <t xml:space="preserve">information@cddft.nhs.uk</t>
  </si>
  <si>
    <t xml:space="preserve">http://www.cddft.nhs.uk</t>
  </si>
  <si>
    <t xml:space="preserve">RXPCC</t>
  </si>
  <si>
    <t xml:space="preserve">Chester Le Street Hospital</t>
  </si>
  <si>
    <t xml:space="preserve">Chester Le Street</t>
  </si>
  <si>
    <t xml:space="preserve">DH3 3AT</t>
  </si>
  <si>
    <t xml:space="preserve">0191 333 2333</t>
  </si>
  <si>
    <t xml:space="preserve">RXPCP</t>
  </si>
  <si>
    <t xml:space="preserve">University Hospital Of North Durham</t>
  </si>
  <si>
    <t xml:space="preserve">Durham</t>
  </si>
  <si>
    <t xml:space="preserve">DH1 5TW</t>
  </si>
  <si>
    <t xml:space="preserve">RXPCW</t>
  </si>
  <si>
    <t xml:space="preserve">Shotley Bridge Hospital</t>
  </si>
  <si>
    <t xml:space="preserve">Consett</t>
  </si>
  <si>
    <t xml:space="preserve">DH8 0NB</t>
  </si>
  <si>
    <t xml:space="preserve">RXPDA</t>
  </si>
  <si>
    <t xml:space="preserve">Darlington Memorial Hospital</t>
  </si>
  <si>
    <t xml:space="preserve">DL3 6HX</t>
  </si>
  <si>
    <t xml:space="preserve">01325 380100</t>
  </si>
  <si>
    <t xml:space="preserve">RXQ02</t>
  </si>
  <si>
    <t xml:space="preserve">Stoke Mandeville Hospital</t>
  </si>
  <si>
    <t xml:space="preserve">Buckinghamshire Healthcare NHS Trust</t>
  </si>
  <si>
    <t xml:space="preserve">HP21 8AL</t>
  </si>
  <si>
    <t xml:space="preserve">01296 315000</t>
  </si>
  <si>
    <t xml:space="preserve">http://www.buckshealthcare.nhs.uk/For%20patients%20and%20visitors/stoke-mandeville-hospital.htm</t>
  </si>
  <si>
    <t xml:space="preserve">RXQ50</t>
  </si>
  <si>
    <t xml:space="preserve">Wycombe Hospital</t>
  </si>
  <si>
    <t xml:space="preserve">HP11 2TT</t>
  </si>
  <si>
    <t xml:space="preserve">01494 526 161</t>
  </si>
  <si>
    <t xml:space="preserve">http://www.buckshealthcare.nhs.uk</t>
  </si>
  <si>
    <t xml:space="preserve">RXQ51</t>
  </si>
  <si>
    <t xml:space="preserve">Amersham Hospital</t>
  </si>
  <si>
    <t xml:space="preserve">Amersham</t>
  </si>
  <si>
    <t xml:space="preserve">HP7 0JD</t>
  </si>
  <si>
    <t xml:space="preserve">01494 434411</t>
  </si>
  <si>
    <t xml:space="preserve">http://www.buckshealthcare.nhs.uk/For%20patients%20and%20visitors/amersham-hospital.htm</t>
  </si>
  <si>
    <t xml:space="preserve">RXQ61</t>
  </si>
  <si>
    <t xml:space="preserve">Buckingham Community Hospital</t>
  </si>
  <si>
    <t xml:space="preserve">Buckingham</t>
  </si>
  <si>
    <t xml:space="preserve">MK18 1NU</t>
  </si>
  <si>
    <t xml:space="preserve">01280 813243</t>
  </si>
  <si>
    <t xml:space="preserve">RXQ62</t>
  </si>
  <si>
    <t xml:space="preserve">Thame Community Hospital</t>
  </si>
  <si>
    <t xml:space="preserve">Thame</t>
  </si>
  <si>
    <t xml:space="preserve">OX9 3JT</t>
  </si>
  <si>
    <t xml:space="preserve">01844 212727</t>
  </si>
  <si>
    <t xml:space="preserve">RXQ64</t>
  </si>
  <si>
    <t xml:space="preserve">Chalfonts and Gerrards Cross Hospital</t>
  </si>
  <si>
    <t xml:space="preserve">Chalfont St Peter</t>
  </si>
  <si>
    <t xml:space="preserve">SL9 9DR</t>
  </si>
  <si>
    <t xml:space="preserve">01753 883821</t>
  </si>
  <si>
    <t xml:space="preserve">bht.pals@nhs.net</t>
  </si>
  <si>
    <t xml:space="preserve">RXQ65</t>
  </si>
  <si>
    <t xml:space="preserve">Marlow Community Hospital</t>
  </si>
  <si>
    <t xml:space="preserve">Marlow</t>
  </si>
  <si>
    <t xml:space="preserve">SL7 1DJ</t>
  </si>
  <si>
    <t xml:space="preserve">01628 482292</t>
  </si>
  <si>
    <t xml:space="preserve">RXR10</t>
  </si>
  <si>
    <t xml:space="preserve">Burnley General Hospital</t>
  </si>
  <si>
    <t xml:space="preserve">East Lancashire Hospitals NHS Trust</t>
  </si>
  <si>
    <t xml:space="preserve">Burnley</t>
  </si>
  <si>
    <t xml:space="preserve">BB10 2PQ</t>
  </si>
  <si>
    <t xml:space="preserve">01282 425071</t>
  </si>
  <si>
    <t xml:space="preserve">contact@elht.nhs.uk</t>
  </si>
  <si>
    <t xml:space="preserve">http://www.elht.nhs.uk</t>
  </si>
  <si>
    <t xml:space="preserve">RXR20</t>
  </si>
  <si>
    <t xml:space="preserve">Royal Blackburn Hospital</t>
  </si>
  <si>
    <t xml:space="preserve">BB2 3HH</t>
  </si>
  <si>
    <t xml:space="preserve">01254 263555</t>
  </si>
  <si>
    <t xml:space="preserve">RXR50</t>
  </si>
  <si>
    <t xml:space="preserve">Pendle Community Hospital</t>
  </si>
  <si>
    <t xml:space="preserve">Nelson</t>
  </si>
  <si>
    <t xml:space="preserve">BB9 9SZ</t>
  </si>
  <si>
    <t xml:space="preserve">RXR60</t>
  </si>
  <si>
    <t xml:space="preserve">Accrington Victoria Hospital</t>
  </si>
  <si>
    <t xml:space="preserve">Accrington</t>
  </si>
  <si>
    <t xml:space="preserve">BB5 6AS</t>
  </si>
  <si>
    <t xml:space="preserve">01254 359003</t>
  </si>
  <si>
    <t xml:space="preserve">RXR70</t>
  </si>
  <si>
    <t xml:space="preserve">Clitheroe Community Hospital</t>
  </si>
  <si>
    <t xml:space="preserve">Unknown City</t>
  </si>
  <si>
    <t xml:space="preserve">BB7 4JX</t>
  </si>
  <si>
    <t xml:space="preserve">RXT05</t>
  </si>
  <si>
    <t xml:space="preserve">Ardenleigh</t>
  </si>
  <si>
    <t xml:space="preserve">B24 9SA</t>
  </si>
  <si>
    <t xml:space="preserve">0121 301 4411</t>
  </si>
  <si>
    <t xml:space="preserve">http://www.bsmhft.nhs.uk</t>
  </si>
  <si>
    <t xml:space="preserve">RXT06</t>
  </si>
  <si>
    <t xml:space="preserve">Ashcroft</t>
  </si>
  <si>
    <t xml:space="preserve">B18 5SD</t>
  </si>
  <si>
    <t xml:space="preserve">0121 301 6140</t>
  </si>
  <si>
    <t xml:space="preserve">http://www.bsmht.nhs.uk</t>
  </si>
  <si>
    <t xml:space="preserve">RXT15</t>
  </si>
  <si>
    <t xml:space="preserve">David Bromley House</t>
  </si>
  <si>
    <t xml:space="preserve">B93 0QA</t>
  </si>
  <si>
    <t xml:space="preserve">0121 678 4935</t>
  </si>
  <si>
    <t xml:space="preserve">RXT18</t>
  </si>
  <si>
    <t xml:space="preserve">Endeavour Court</t>
  </si>
  <si>
    <t xml:space="preserve">B23 6DJ</t>
  </si>
  <si>
    <t xml:space="preserve">0121 301 7350</t>
  </si>
  <si>
    <t xml:space="preserve">RXT24</t>
  </si>
  <si>
    <t xml:space="preserve">Grove Avenue</t>
  </si>
  <si>
    <t xml:space="preserve">B13 9RY</t>
  </si>
  <si>
    <t xml:space="preserve">0121 678 4004</t>
  </si>
  <si>
    <t xml:space="preserve">RXT27</t>
  </si>
  <si>
    <t xml:space="preserve">Hertford House</t>
  </si>
  <si>
    <t xml:space="preserve">B92 7JQ</t>
  </si>
  <si>
    <t xml:space="preserve">0121 678 4860</t>
  </si>
  <si>
    <t xml:space="preserve">RXT29</t>
  </si>
  <si>
    <t xml:space="preserve">Hillis Lodge</t>
  </si>
  <si>
    <t xml:space="preserve">B31 5HE</t>
  </si>
  <si>
    <t xml:space="preserve">0121 301 4100</t>
  </si>
  <si>
    <t xml:space="preserve">RXT47</t>
  </si>
  <si>
    <t xml:space="preserve">Mary Seacole House</t>
  </si>
  <si>
    <t xml:space="preserve">0121 301 6100</t>
  </si>
  <si>
    <t xml:space="preserve">https://www.bsmhft.nhs.uk</t>
  </si>
  <si>
    <t xml:space="preserve">RXT64</t>
  </si>
  <si>
    <t xml:space="preserve">Reaside Clinic</t>
  </si>
  <si>
    <t xml:space="preserve">B45 9BE</t>
  </si>
  <si>
    <t xml:space="preserve">0121 301 3000</t>
  </si>
  <si>
    <t xml:space="preserve">RXT65</t>
  </si>
  <si>
    <t xml:space="preserve">Reservoir Court</t>
  </si>
  <si>
    <t xml:space="preserve">0121 301 7333</t>
  </si>
  <si>
    <t xml:space="preserve">RXT96</t>
  </si>
  <si>
    <t xml:space="preserve">Dan Mooney House</t>
  </si>
  <si>
    <t xml:space="preserve">0121 301 4930</t>
  </si>
  <si>
    <t xml:space="preserve">RXTD2</t>
  </si>
  <si>
    <t xml:space="preserve">Zinnia Centre</t>
  </si>
  <si>
    <t xml:space="preserve">B11 4HL</t>
  </si>
  <si>
    <t xml:space="preserve">0121 301 5300</t>
  </si>
  <si>
    <t xml:space="preserve">RXTD3</t>
  </si>
  <si>
    <t xml:space="preserve">Barberry</t>
  </si>
  <si>
    <t xml:space="preserve">B15 2FG</t>
  </si>
  <si>
    <t xml:space="preserve">0121 301 2002</t>
  </si>
  <si>
    <t xml:space="preserve">RXTD4</t>
  </si>
  <si>
    <t xml:space="preserve">Oleaster</t>
  </si>
  <si>
    <t xml:space="preserve">B15 2SY</t>
  </si>
  <si>
    <t xml:space="preserve">0121 301 2200</t>
  </si>
  <si>
    <t xml:space="preserve">RXTD5</t>
  </si>
  <si>
    <t xml:space="preserve">Juniper Centre</t>
  </si>
  <si>
    <t xml:space="preserve">B13 8JL</t>
  </si>
  <si>
    <t xml:space="preserve">0121 301 5700</t>
  </si>
  <si>
    <t xml:space="preserve">RXV06</t>
  </si>
  <si>
    <t xml:space="preserve">Prestwich Hospital</t>
  </si>
  <si>
    <t xml:space="preserve">Greater Manchester Mental Health NHS Foundation Trust</t>
  </si>
  <si>
    <t xml:space="preserve">M25 3BL</t>
  </si>
  <si>
    <t xml:space="preserve">0161 773 9121</t>
  </si>
  <si>
    <t xml:space="preserve">https://www.gmmh.nhs.uk</t>
  </si>
  <si>
    <t xml:space="preserve">RXWAS</t>
  </si>
  <si>
    <t xml:space="preserve">Royal Shrewsbury Hospital</t>
  </si>
  <si>
    <t xml:space="preserve">Shrewsbury and Telford Hospital NHS Trust</t>
  </si>
  <si>
    <t xml:space="preserve">SY3 8XQ</t>
  </si>
  <si>
    <t xml:space="preserve">01743 261000</t>
  </si>
  <si>
    <t xml:space="preserve">sath.info@nhs.net</t>
  </si>
  <si>
    <t xml:space="preserve">http://www.sath.nhs.uk</t>
  </si>
  <si>
    <t xml:space="preserve">RXWAT</t>
  </si>
  <si>
    <t xml:space="preserve">Telford</t>
  </si>
  <si>
    <t xml:space="preserve">TF1 6TF</t>
  </si>
  <si>
    <t xml:space="preserve">01952 641222</t>
  </si>
  <si>
    <t xml:space="preserve">RXX22</t>
  </si>
  <si>
    <t xml:space="preserve">Farnham Road Hospital</t>
  </si>
  <si>
    <t xml:space="preserve">Surrey and Borders Partnership NHS Foundation Trust</t>
  </si>
  <si>
    <t xml:space="preserve">GU2 7LX</t>
  </si>
  <si>
    <t xml:space="preserve">0300 5555 222</t>
  </si>
  <si>
    <t xml:space="preserve">http://www.sabp.nhs.uk</t>
  </si>
  <si>
    <t xml:space="preserve">RXY03</t>
  </si>
  <si>
    <t xml:space="preserve">St Martin's Hospital</t>
  </si>
  <si>
    <t xml:space="preserve">Kent and Medway NHS and Social Care Partnership Trust</t>
  </si>
  <si>
    <t xml:space="preserve">CT1 1TD</t>
  </si>
  <si>
    <t xml:space="preserve">01227 459371</t>
  </si>
  <si>
    <t xml:space="preserve">https://www.kmpt.nhs.uk/locations/st-martins-hospital/6834</t>
  </si>
  <si>
    <t xml:space="preserve">RXYL2</t>
  </si>
  <si>
    <t xml:space="preserve">Littlebrook Hospital</t>
  </si>
  <si>
    <t xml:space="preserve">DA2 6PB</t>
  </si>
  <si>
    <t xml:space="preserve">http://www.kmpt.nhs.uk</t>
  </si>
  <si>
    <t xml:space="preserve">RXYP8</t>
  </si>
  <si>
    <t xml:space="preserve">Priority House</t>
  </si>
  <si>
    <t xml:space="preserve">01622 725000</t>
  </si>
  <si>
    <t xml:space="preserve">RY311</t>
  </si>
  <si>
    <t xml:space="preserve">Colman Hospital</t>
  </si>
  <si>
    <t xml:space="preserve">Norfolk Community Health and Care NHS Trust</t>
  </si>
  <si>
    <t xml:space="preserve">NR2 2PJ</t>
  </si>
  <si>
    <t xml:space="preserve">01603 255720</t>
  </si>
  <si>
    <t xml:space="preserve">RY312</t>
  </si>
  <si>
    <t xml:space="preserve">Norwich Community Hospital</t>
  </si>
  <si>
    <t xml:space="preserve">NR2 3TU</t>
  </si>
  <si>
    <t xml:space="preserve">01603 776776</t>
  </si>
  <si>
    <t xml:space="preserve">http://www.norfolkcommunityhealthandcare.nhs.uk</t>
  </si>
  <si>
    <t xml:space="preserve">RY319</t>
  </si>
  <si>
    <t xml:space="preserve">Dereham Hospital</t>
  </si>
  <si>
    <t xml:space="preserve">Dereham</t>
  </si>
  <si>
    <t xml:space="preserve">NR19 2EX</t>
  </si>
  <si>
    <t xml:space="preserve">01362 655210</t>
  </si>
  <si>
    <t xml:space="preserve">http://www.nchc.nhs.uk</t>
  </si>
  <si>
    <t xml:space="preserve">RY332</t>
  </si>
  <si>
    <t xml:space="preserve">North Walsham Hospital</t>
  </si>
  <si>
    <t xml:space="preserve">North Walsham</t>
  </si>
  <si>
    <t xml:space="preserve">NR28 9AP</t>
  </si>
  <si>
    <t xml:space="preserve">01692 408000</t>
  </si>
  <si>
    <t xml:space="preserve">RY335</t>
  </si>
  <si>
    <t xml:space="preserve">Kelling Hospital</t>
  </si>
  <si>
    <t xml:space="preserve">Holt</t>
  </si>
  <si>
    <t xml:space="preserve">NR25 6QA</t>
  </si>
  <si>
    <t xml:space="preserve">01263 710575</t>
  </si>
  <si>
    <t xml:space="preserve">RY33E</t>
  </si>
  <si>
    <t xml:space="preserve">Swaffham Community Hospital</t>
  </si>
  <si>
    <t xml:space="preserve">Swaffham</t>
  </si>
  <si>
    <t xml:space="preserve">PE37 7HL</t>
  </si>
  <si>
    <t xml:space="preserve">01760 726550</t>
  </si>
  <si>
    <t xml:space="preserve">RY539</t>
  </si>
  <si>
    <t xml:space="preserve">Skegness and District General Hospital</t>
  </si>
  <si>
    <t xml:space="preserve">Lincolnshire Community Health Services NHS Trust</t>
  </si>
  <si>
    <t xml:space="preserve">Skegness</t>
  </si>
  <si>
    <t xml:space="preserve">PE25 2BS</t>
  </si>
  <si>
    <t xml:space="preserve">01754 762 401</t>
  </si>
  <si>
    <t xml:space="preserve">http://www.lincolnshirecommunityhealthservices.nhs.uk/content/skegness-hospital</t>
  </si>
  <si>
    <t xml:space="preserve">RY567</t>
  </si>
  <si>
    <t xml:space="preserve">Johnson Community Hospital</t>
  </si>
  <si>
    <t xml:space="preserve">Spalding</t>
  </si>
  <si>
    <t xml:space="preserve">PE11 3DT</t>
  </si>
  <si>
    <t xml:space="preserve">01775 652 000</t>
  </si>
  <si>
    <t xml:space="preserve">http://www.lincolnshirecommunityhealthservices.nhs.uk/content/johnson-community-hospital</t>
  </si>
  <si>
    <t xml:space="preserve">RY568</t>
  </si>
  <si>
    <t xml:space="preserve">John Coupland Hospital</t>
  </si>
  <si>
    <t xml:space="preserve">Gainsborough</t>
  </si>
  <si>
    <t xml:space="preserve">DN21 2TJ</t>
  </si>
  <si>
    <t xml:space="preserve">01427 816 500</t>
  </si>
  <si>
    <t xml:space="preserve">http://www.lincolnshirecommunityhealthservices.nhs.uk/content/john-coupland-hospital</t>
  </si>
  <si>
    <t xml:space="preserve">RY572</t>
  </si>
  <si>
    <t xml:space="preserve">County Hospital Louth</t>
  </si>
  <si>
    <t xml:space="preserve">Louth</t>
  </si>
  <si>
    <t xml:space="preserve">LN11 0EU</t>
  </si>
  <si>
    <t xml:space="preserve">01507 600100</t>
  </si>
  <si>
    <t xml:space="preserve">http://www.lincolnshirecommunityhealthservices.nhs.uk/content/county-hospital-louth</t>
  </si>
  <si>
    <t xml:space="preserve">RY838</t>
  </si>
  <si>
    <t xml:space="preserve">Whitworth Hospital</t>
  </si>
  <si>
    <t xml:space="preserve">Derbyshire Community Health Services NHS Foundation Trust</t>
  </si>
  <si>
    <t xml:space="preserve">Matlock</t>
  </si>
  <si>
    <t xml:space="preserve">DE4 2JD</t>
  </si>
  <si>
    <t xml:space="preserve">01629 580211</t>
  </si>
  <si>
    <t xml:space="preserve">dchst.patientexperienceteam@nhs.net</t>
  </si>
  <si>
    <t xml:space="preserve">http://www.dchs.nhs.uk/home_redesign/our-services/find_services_by_location/whitworthhospital</t>
  </si>
  <si>
    <t xml:space="preserve">RY8AJ</t>
  </si>
  <si>
    <t xml:space="preserve">Walton Hospital</t>
  </si>
  <si>
    <t xml:space="preserve">S40 3HW</t>
  </si>
  <si>
    <t xml:space="preserve">01246 515 505</t>
  </si>
  <si>
    <t xml:space="preserve">http://www.dchs.nhs.uk/home_redesign/our-services/find_services_by_location/waltonhospital</t>
  </si>
  <si>
    <t xml:space="preserve">RY8DE</t>
  </si>
  <si>
    <t xml:space="preserve">Babington Hospital</t>
  </si>
  <si>
    <t xml:space="preserve">DE56 1WH</t>
  </si>
  <si>
    <t xml:space="preserve">01773824171</t>
  </si>
  <si>
    <t xml:space="preserve">http://www.dchs.nhs.uk/home_redesign/our-services/find_services_by_location/babington-hospital</t>
  </si>
  <si>
    <t xml:space="preserve">RY8DG</t>
  </si>
  <si>
    <t xml:space="preserve">Ripley Hospital</t>
  </si>
  <si>
    <t xml:space="preserve">Ripley</t>
  </si>
  <si>
    <t xml:space="preserve">DE5 3HE</t>
  </si>
  <si>
    <t xml:space="preserve">01773 743456</t>
  </si>
  <si>
    <t xml:space="preserve">http://www.dchs.nhs.uk/home_redesign/our-services/find_services_by_location/ripleyhospital</t>
  </si>
  <si>
    <t xml:space="preserve">RY8NA</t>
  </si>
  <si>
    <t xml:space="preserve">Newholme Hospital</t>
  </si>
  <si>
    <t xml:space="preserve">Bakewell</t>
  </si>
  <si>
    <t xml:space="preserve">DE45 1AD</t>
  </si>
  <si>
    <t xml:space="preserve">01629 812 525</t>
  </si>
  <si>
    <t xml:space="preserve">http://www.dchs.nhs.uk/home_redesign/our-services/find_services_by_location/newholmehospital</t>
  </si>
  <si>
    <t xml:space="preserve">RY8NR</t>
  </si>
  <si>
    <t xml:space="preserve">Clay Cross Hospital</t>
  </si>
  <si>
    <t xml:space="preserve">S45 9NZ</t>
  </si>
  <si>
    <t xml:space="preserve">01246 252900</t>
  </si>
  <si>
    <t xml:space="preserve">http://www.dchs.nhs.uk/home_redesign/our-services/find_services_by_location/claycross_hospital</t>
  </si>
  <si>
    <t xml:space="preserve">RY8NT</t>
  </si>
  <si>
    <t xml:space="preserve">Bolsover Hospital</t>
  </si>
  <si>
    <t xml:space="preserve">S44 6DH</t>
  </si>
  <si>
    <t xml:space="preserve">01246 827 901</t>
  </si>
  <si>
    <t xml:space="preserve">http://www.dchs.nhs.uk/home_redesign/our-services/find_services_by_location/bolsoverhospital</t>
  </si>
  <si>
    <t xml:space="preserve">RY8NW</t>
  </si>
  <si>
    <t xml:space="preserve">Cavendish Hospital</t>
  </si>
  <si>
    <t xml:space="preserve">Buxton</t>
  </si>
  <si>
    <t xml:space="preserve">SK17 6TE</t>
  </si>
  <si>
    <t xml:space="preserve">01298 212800</t>
  </si>
  <si>
    <t xml:space="preserve">http://www.dchs.nhs.uk/home_redesign/our-services/find_services_by_location/cavendishhospital</t>
  </si>
  <si>
    <t xml:space="preserve">RY8RH</t>
  </si>
  <si>
    <t xml:space="preserve">Ilkeston Community Hospital</t>
  </si>
  <si>
    <t xml:space="preserve">Ilkeston</t>
  </si>
  <si>
    <t xml:space="preserve">DE7 8LN</t>
  </si>
  <si>
    <t xml:space="preserve">0115 9305522</t>
  </si>
  <si>
    <t xml:space="preserve">http://www.dchs.nhs.uk/home_redesign/our-services/find_services_by_location/ilkeston</t>
  </si>
  <si>
    <t xml:space="preserve">RYG79</t>
  </si>
  <si>
    <t xml:space="preserve">Coventry and Warwickshire Partnership NHS Trust</t>
  </si>
  <si>
    <t xml:space="preserve">CV34 5QW</t>
  </si>
  <si>
    <t xml:space="preserve">01926 406789</t>
  </si>
  <si>
    <t xml:space="preserve">https://www.covwarkpt.nhs.uk/st-michaels</t>
  </si>
  <si>
    <t xml:space="preserve">RYG96</t>
  </si>
  <si>
    <t xml:space="preserve">Brooklands Hospital</t>
  </si>
  <si>
    <t xml:space="preserve">B37 7HL</t>
  </si>
  <si>
    <t xml:space="preserve">0121 329 4900</t>
  </si>
  <si>
    <t xml:space="preserve">https://www.covwarkpt.nhs.uk/brooklands</t>
  </si>
  <si>
    <t xml:space="preserve">RYJ01</t>
  </si>
  <si>
    <t xml:space="preserve">St Mary's Hospital (HQ)</t>
  </si>
  <si>
    <t xml:space="preserve">Imperial College Healthcare NHS Trust</t>
  </si>
  <si>
    <t xml:space="preserve">W2 1NY</t>
  </si>
  <si>
    <t xml:space="preserve">020 3312 6666</t>
  </si>
  <si>
    <t xml:space="preserve">https://www.imperial.nhs.uk/our-locations/st-marys-hospital</t>
  </si>
  <si>
    <t xml:space="preserve">RYJ02</t>
  </si>
  <si>
    <t xml:space="preserve">Charing Cross Hospital</t>
  </si>
  <si>
    <t xml:space="preserve">W6 8RF</t>
  </si>
  <si>
    <t xml:space="preserve">020 3311 1234</t>
  </si>
  <si>
    <t xml:space="preserve">https://www.imperial.nhs.uk/our-locations/charing-cross-hospital</t>
  </si>
  <si>
    <t xml:space="preserve">RYJ03</t>
  </si>
  <si>
    <t xml:space="preserve">Hammersmith Hospital</t>
  </si>
  <si>
    <t xml:space="preserve">W12 0HS</t>
  </si>
  <si>
    <t xml:space="preserve">020 3313 1000</t>
  </si>
  <si>
    <t xml:space="preserve">https://www.imperial.nhs.uk/our-locations/hammersmith-hospital</t>
  </si>
  <si>
    <t xml:space="preserve">RYJ04</t>
  </si>
  <si>
    <t xml:space="preserve">Queen Charlotte's &amp; Chelsea Hospital</t>
  </si>
  <si>
    <t xml:space="preserve">020 3313 1111</t>
  </si>
  <si>
    <t xml:space="preserve">https://www.imperial.nhs.uk/our-locations/queen-charlottes-and-chelsea-hospital</t>
  </si>
  <si>
    <t xml:space="preserve">RYJ07</t>
  </si>
  <si>
    <t xml:space="preserve">Western Eye Hospital</t>
  </si>
  <si>
    <t xml:space="preserve">NW1 5QH</t>
  </si>
  <si>
    <t xml:space="preserve">https://www.imperial.nhs.uk/our-locations/western-eye-hospital</t>
  </si>
  <si>
    <t xml:space="preserve">RYR14</t>
  </si>
  <si>
    <t xml:space="preserve">Southlands Hospital</t>
  </si>
  <si>
    <t xml:space="preserve">Western Sussex Hospitals NHS Foundation Trust</t>
  </si>
  <si>
    <t xml:space="preserve">Shoreham-By-Sea</t>
  </si>
  <si>
    <t xml:space="preserve">BN43 6TQ</t>
  </si>
  <si>
    <t xml:space="preserve">01903 205111</t>
  </si>
  <si>
    <t xml:space="preserve">http://www.westernsussexhospitals.nhs.uk</t>
  </si>
  <si>
    <t xml:space="preserve">RYR16</t>
  </si>
  <si>
    <t xml:space="preserve">St Richard's Hospital</t>
  </si>
  <si>
    <t xml:space="preserve">PO19 6SE</t>
  </si>
  <si>
    <t xml:space="preserve">(01243) 788122</t>
  </si>
  <si>
    <t xml:space="preserve">firstname.surname@wsht.nhs.uk</t>
  </si>
  <si>
    <t xml:space="preserve">RYR18</t>
  </si>
  <si>
    <t xml:space="preserve">Worthing Hospital</t>
  </si>
  <si>
    <t xml:space="preserve">BN11 2DH</t>
  </si>
  <si>
    <t xml:space="preserve">RYV01</t>
  </si>
  <si>
    <t xml:space="preserve">Brookfields Hospital</t>
  </si>
  <si>
    <t xml:space="preserve">Cambridgeshire Community Services NHS Trust</t>
  </si>
  <si>
    <t xml:space="preserve">CB1 3DF</t>
  </si>
  <si>
    <t xml:space="preserve">01223 603051</t>
  </si>
  <si>
    <t xml:space="preserve">ccs-tr.pals@nhs.net</t>
  </si>
  <si>
    <t xml:space="preserve">RYWT3</t>
  </si>
  <si>
    <t xml:space="preserve">Birmingham Dental Hospital and School of Dentistry</t>
  </si>
  <si>
    <t xml:space="preserve">Birmingham Community Healthcare NHS Foundation Trust</t>
  </si>
  <si>
    <t xml:space="preserve">Birmingham (SatNav B5 7SA)</t>
  </si>
  <si>
    <t xml:space="preserve">B5 7EG</t>
  </si>
  <si>
    <t xml:space="preserve">0121 466 5555</t>
  </si>
  <si>
    <t xml:space="preserve">dental.hospital@nhs.net</t>
  </si>
  <si>
    <t xml:space="preserve">http://www.bhamcommunity.nhs.uk/dental-hospital</t>
  </si>
  <si>
    <t xml:space="preserve">RYW23</t>
  </si>
  <si>
    <t xml:space="preserve">Moseley Hall Hospital</t>
  </si>
  <si>
    <t xml:space="preserve">0121 466 6000</t>
  </si>
  <si>
    <t xml:space="preserve">http://www.bhamcommunity.nhs.uk</t>
  </si>
  <si>
    <t xml:space="preserve">RYW24</t>
  </si>
  <si>
    <t xml:space="preserve">West Heath Hospital</t>
  </si>
  <si>
    <t xml:space="preserve">B38 8HR</t>
  </si>
  <si>
    <t xml:space="preserve">RYYAL</t>
  </si>
  <si>
    <t xml:space="preserve">Faversham Cottage Hospital</t>
  </si>
  <si>
    <t xml:space="preserve">Faversham</t>
  </si>
  <si>
    <t xml:space="preserve">ME13 8PS</t>
  </si>
  <si>
    <t xml:space="preserve">01795 562068</t>
  </si>
  <si>
    <t xml:space="preserve">http://www.kentcht.nhs.uk</t>
  </si>
  <si>
    <t xml:space="preserve">RYYC3</t>
  </si>
  <si>
    <t xml:space="preserve">Queen Victoria Memorial Hospital</t>
  </si>
  <si>
    <t xml:space="preserve">Herne Bay</t>
  </si>
  <si>
    <t xml:space="preserve">CT6 6EB</t>
  </si>
  <si>
    <t xml:space="preserve">01227 594700</t>
  </si>
  <si>
    <t xml:space="preserve">RYYC7</t>
  </si>
  <si>
    <t xml:space="preserve">Sheppey Community Hospital</t>
  </si>
  <si>
    <t xml:space="preserve">Sheerness</t>
  </si>
  <si>
    <t xml:space="preserve">ME12 3LT</t>
  </si>
  <si>
    <t xml:space="preserve">01795 879100</t>
  </si>
  <si>
    <t xml:space="preserve">RYYC8</t>
  </si>
  <si>
    <t xml:space="preserve">Sittingbourne Memorial Hospital</t>
  </si>
  <si>
    <t xml:space="preserve">Sittingbourne</t>
  </si>
  <si>
    <t xml:space="preserve">ME10 4DT</t>
  </si>
  <si>
    <t xml:space="preserve">01795 418300</t>
  </si>
  <si>
    <t xml:space="preserve">RYYCH</t>
  </si>
  <si>
    <t xml:space="preserve">Victoria Hospital, Deal</t>
  </si>
  <si>
    <t xml:space="preserve">Deal</t>
  </si>
  <si>
    <t xml:space="preserve">CT14 9UA</t>
  </si>
  <si>
    <t xml:space="preserve">01304 865400</t>
  </si>
  <si>
    <t xml:space="preserve">RYYCM</t>
  </si>
  <si>
    <t xml:space="preserve">Whitstable and Tankerton Hospital</t>
  </si>
  <si>
    <t xml:space="preserve">Whitstable</t>
  </si>
  <si>
    <t xml:space="preserve">CT5 2HN</t>
  </si>
  <si>
    <t xml:space="preserve">01227 594400</t>
  </si>
  <si>
    <t xml:space="preserve">RYYCW</t>
  </si>
  <si>
    <t xml:space="preserve">Royal Victoria Hospital, Folkestone</t>
  </si>
  <si>
    <t xml:space="preserve">Folkestone</t>
  </si>
  <si>
    <t xml:space="preserve">CT19 5BN</t>
  </si>
  <si>
    <t xml:space="preserve">01303 850202</t>
  </si>
  <si>
    <t xml:space="preserve">RYYD4</t>
  </si>
  <si>
    <t xml:space="preserve">Edenbridge War Memorial Hospital</t>
  </si>
  <si>
    <t xml:space="preserve">Edenbridge</t>
  </si>
  <si>
    <t xml:space="preserve">TN8 5DA</t>
  </si>
  <si>
    <t xml:space="preserve">01732 863164</t>
  </si>
  <si>
    <t xml:space="preserve">RYYD6</t>
  </si>
  <si>
    <t xml:space="preserve">Hawkhurst Hospital</t>
  </si>
  <si>
    <t xml:space="preserve">TN18 4PU</t>
  </si>
  <si>
    <t xml:space="preserve">01580 753345</t>
  </si>
  <si>
    <t xml:space="preserve">RYYD9</t>
  </si>
  <si>
    <t xml:space="preserve">Sevenoaks Hospital</t>
  </si>
  <si>
    <t xml:space="preserve">Sevenoaks</t>
  </si>
  <si>
    <t xml:space="preserve">TN13 3PG</t>
  </si>
  <si>
    <t xml:space="preserve">01732 470200</t>
  </si>
  <si>
    <t xml:space="preserve">RYYDC</t>
  </si>
  <si>
    <t xml:space="preserve">Tonbridge Cottage Hospital</t>
  </si>
  <si>
    <t xml:space="preserve">Tonbridge</t>
  </si>
  <si>
    <t xml:space="preserve">TN11 0NE</t>
  </si>
  <si>
    <t xml:space="preserve">01732 353653</t>
  </si>
  <si>
    <t xml:space="preserve">RYYDN</t>
  </si>
  <si>
    <t xml:space="preserve">Gravesham Community Hospital</t>
  </si>
  <si>
    <t xml:space="preserve">Gravesend</t>
  </si>
  <si>
    <t xml:space="preserve">DA11 0DG</t>
  </si>
  <si>
    <t xml:space="preserve">01474 360500</t>
  </si>
  <si>
    <t xml:space="preserve">http://www.virgincare.co.uk</t>
  </si>
  <si>
    <t xml:space="preserve">TAD17</t>
  </si>
  <si>
    <t xml:space="preserve">Lynfield Mount Hospital</t>
  </si>
  <si>
    <t xml:space="preserve">Bradford District NHS Foundation Trust</t>
  </si>
  <si>
    <t xml:space="preserve">BD9 6DP</t>
  </si>
  <si>
    <t xml:space="preserve">01274 494194</t>
  </si>
  <si>
    <t xml:space="preserve">http://www.bdct.nhs.uk</t>
  </si>
  <si>
    <t xml:space="preserve">TAJ07</t>
  </si>
  <si>
    <t xml:space="preserve">Edward Street Hospital</t>
  </si>
  <si>
    <t xml:space="preserve">Black Country Healthcare NHS Foundation Trust</t>
  </si>
  <si>
    <t xml:space="preserve">B70 8NL</t>
  </si>
  <si>
    <t xml:space="preserve">0845 1461800</t>
  </si>
  <si>
    <t xml:space="preserve">http://www.bcpft.nhs.uk</t>
  </si>
  <si>
    <t xml:space="preserve">TAJ11</t>
  </si>
  <si>
    <t xml:space="preserve">Heath Lane Hospital</t>
  </si>
  <si>
    <t xml:space="preserve">B71 2BG</t>
  </si>
  <si>
    <t xml:space="preserve">0845 146 1800</t>
  </si>
  <si>
    <t xml:space="preserve">TAJ20</t>
  </si>
  <si>
    <t xml:space="preserve">Hallam Street Hospital</t>
  </si>
  <si>
    <t xml:space="preserve">B71 4NH</t>
  </si>
  <si>
    <t xml:space="preserve">0121 612 8628</t>
  </si>
  <si>
    <t xml:space="preserve">communications.team@bcpft.nhs.uk</t>
  </si>
  <si>
    <t xml:space="preserve">RBTPP</t>
  </si>
  <si>
    <t xml:space="preserve">Elmhurst Intermediate Care Centre</t>
  </si>
  <si>
    <t xml:space="preserve">Winsford</t>
  </si>
  <si>
    <t xml:space="preserve">CW7 2DF</t>
  </si>
  <si>
    <t xml:space="preserve">01606 597630</t>
  </si>
  <si>
    <t xml:space="preserve">RX1AA</t>
  </si>
  <si>
    <t xml:space="preserve">Nottingham University Hospitals NHS Trust - Ropewalk House</t>
  </si>
  <si>
    <t xml:space="preserve">NG1 6HA</t>
  </si>
  <si>
    <t xml:space="preserve">0115 924 9924 (ext. 61111)</t>
  </si>
  <si>
    <t xml:space="preserve">RX3BB</t>
  </si>
  <si>
    <t xml:space="preserve">Lanchester Road Hospital, Durham</t>
  </si>
  <si>
    <t xml:space="preserve">DH1 5RD</t>
  </si>
  <si>
    <t xml:space="preserve">0191 441 5700</t>
  </si>
  <si>
    <t xml:space="preserve">http://www.tewv.nhs.uk/lanchesterroad</t>
  </si>
  <si>
    <t xml:space="preserve">RTQ90</t>
  </si>
  <si>
    <t xml:space="preserve">Ambrose House</t>
  </si>
  <si>
    <t xml:space="preserve">Gloucestershire Health and Care NHS Foundation Trust</t>
  </si>
  <si>
    <t xml:space="preserve">GL4 3GG</t>
  </si>
  <si>
    <t xml:space="preserve">0800 019 3346</t>
  </si>
  <si>
    <t xml:space="preserve">https://www.2gether.nhs.uk/learning-disabilities</t>
  </si>
  <si>
    <t xml:space="preserve">RATGM</t>
  </si>
  <si>
    <t xml:space="preserve">Goodmayes Hospital</t>
  </si>
  <si>
    <t xml:space="preserve">North East London NHS Foundation Trust</t>
  </si>
  <si>
    <t xml:space="preserve">IG3 8XJ</t>
  </si>
  <si>
    <t xml:space="preserve">020 8215 9200</t>
  </si>
  <si>
    <t xml:space="preserve">http://www.nelft.nhs.uk</t>
  </si>
  <si>
    <t xml:space="preserve">RDRAA</t>
  </si>
  <si>
    <t xml:space="preserve">Arundel &amp; District Hospital</t>
  </si>
  <si>
    <t xml:space="preserve">Arundel</t>
  </si>
  <si>
    <t xml:space="preserve">BN18 0AB</t>
  </si>
  <si>
    <t xml:space="preserve">01903 882543</t>
  </si>
  <si>
    <t xml:space="preserve">http://www.sussexcommunity.nhs.uk/services</t>
  </si>
  <si>
    <t xml:space="preserve">RV915</t>
  </si>
  <si>
    <t xml:space="preserve">Townend Court</t>
  </si>
  <si>
    <t xml:space="preserve">HU6 8QG</t>
  </si>
  <si>
    <t xml:space="preserve">01482 336740</t>
  </si>
  <si>
    <t xml:space="preserve">RNNDD</t>
  </si>
  <si>
    <t xml:space="preserve">Brampton War Memorial Hospital</t>
  </si>
  <si>
    <t xml:space="preserve">Brampton</t>
  </si>
  <si>
    <t xml:space="preserve">CA8 1TX</t>
  </si>
  <si>
    <t xml:space="preserve">01228 608345</t>
  </si>
  <si>
    <t xml:space="preserve">https://www.cumbriapartnership.nhs.uk/where-we-work/brampton-war-memorial-hospital</t>
  </si>
  <si>
    <t xml:space="preserve">RNNWT</t>
  </si>
  <si>
    <t xml:space="preserve">Wigton Community Hospital</t>
  </si>
  <si>
    <t xml:space="preserve">Wigton</t>
  </si>
  <si>
    <t xml:space="preserve">CA7 9DD</t>
  </si>
  <si>
    <t xml:space="preserve">016973 66600</t>
  </si>
  <si>
    <t xml:space="preserve">RNNYY</t>
  </si>
  <si>
    <t xml:space="preserve">Workington Community Hospital</t>
  </si>
  <si>
    <t xml:space="preserve">Workington</t>
  </si>
  <si>
    <t xml:space="preserve">CA14 2RW</t>
  </si>
  <si>
    <t xml:space="preserve">01900 705000</t>
  </si>
  <si>
    <t xml:space="preserve">RX4W4</t>
  </si>
  <si>
    <t xml:space="preserve">Walkergate Park</t>
  </si>
  <si>
    <t xml:space="preserve">Newcastle-upon-Tyne</t>
  </si>
  <si>
    <t xml:space="preserve">NE6 4QD</t>
  </si>
  <si>
    <t xml:space="preserve">0191 2875000</t>
  </si>
  <si>
    <t xml:space="preserve">NDJZZ</t>
  </si>
  <si>
    <t xml:space="preserve">Caterham Dene Community Hospital</t>
  </si>
  <si>
    <t xml:space="preserve">First Community Health and Care</t>
  </si>
  <si>
    <t xml:space="preserve">CR3 5RA</t>
  </si>
  <si>
    <t xml:space="preserve">01883 837500</t>
  </si>
  <si>
    <t xml:space="preserve">http://www.firstcommunityhealthcare.co.uk</t>
  </si>
  <si>
    <t xml:space="preserve">RNUFF</t>
  </si>
  <si>
    <t xml:space="preserve">Townlands Memorial Hospital - Oxford Health NHS Foundation Trust</t>
  </si>
  <si>
    <t xml:space="preserve">Oxford Health NHS Foundation Trust</t>
  </si>
  <si>
    <t xml:space="preserve">Henley-on-Thames</t>
  </si>
  <si>
    <t xml:space="preserve">RG9 2DR</t>
  </si>
  <si>
    <t xml:space="preserve">01865 903709</t>
  </si>
  <si>
    <t xml:space="preserve">http://www.royalberkshire.nhs.uk/how-to-find-us/townlands-hospital-in-henley.htm</t>
  </si>
  <si>
    <t xml:space="preserve">RWK46</t>
  </si>
  <si>
    <t xml:space="preserve">Newham Centre for Mental Health</t>
  </si>
  <si>
    <t xml:space="preserve">E13 8SP</t>
  </si>
  <si>
    <t xml:space="preserve">020 7540 4380</t>
  </si>
  <si>
    <t xml:space="preserve">RWK60</t>
  </si>
  <si>
    <t xml:space="preserve">The John Howard Centre</t>
  </si>
  <si>
    <t xml:space="preserve">E9 5TD</t>
  </si>
  <si>
    <t xml:space="preserve">020 8510 2003</t>
  </si>
  <si>
    <t xml:space="preserve">RWK89</t>
  </si>
  <si>
    <t xml:space="preserve">East Ham Care Centre</t>
  </si>
  <si>
    <t xml:space="preserve">E7 8QP</t>
  </si>
  <si>
    <t xml:space="preserve">020 8475 2001</t>
  </si>
  <si>
    <t xml:space="preserve">RWXX1</t>
  </si>
  <si>
    <t xml:space="preserve">Wokingham Hospital</t>
  </si>
  <si>
    <t xml:space="preserve">Wokingham</t>
  </si>
  <si>
    <t xml:space="preserve">RG41 2XR</t>
  </si>
  <si>
    <t xml:space="preserve">0118 949 5000</t>
  </si>
  <si>
    <t xml:space="preserve">https://www.berkshirehealthcare.nhs.uk/our-sites/bracknell-wokingham/wokingham-hospital</t>
  </si>
  <si>
    <t xml:space="preserve">RQYCC</t>
  </si>
  <si>
    <t xml:space="preserve">Richmond Royal Hospital</t>
  </si>
  <si>
    <t xml:space="preserve">TW9 2TE</t>
  </si>
  <si>
    <t xml:space="preserve">020 3513 3200</t>
  </si>
  <si>
    <t xml:space="preserve">RAEPP</t>
  </si>
  <si>
    <t xml:space="preserve">Westwood Park Diagnostic Treatment Centre</t>
  </si>
  <si>
    <t xml:space="preserve">BD6 3NL</t>
  </si>
  <si>
    <t xml:space="preserve">01274 425990</t>
  </si>
  <si>
    <t xml:space="preserve">NT9QQ</t>
  </si>
  <si>
    <t xml:space="preserve">Turner Diagnostic Centre</t>
  </si>
  <si>
    <t xml:space="preserve">Alliance Medical</t>
  </si>
  <si>
    <t xml:space="preserve">01206 744 222</t>
  </si>
  <si>
    <t xml:space="preserve">colchester@alliance.co.uk</t>
  </si>
  <si>
    <t xml:space="preserve">https://www.alliancemedical.co.uk</t>
  </si>
  <si>
    <t xml:space="preserve">NCE02</t>
  </si>
  <si>
    <t xml:space="preserve">Trafford Health Centre</t>
  </si>
  <si>
    <t xml:space="preserve">Mastercall Healthcare</t>
  </si>
  <si>
    <t xml:space="preserve">M41 5SL</t>
  </si>
  <si>
    <t xml:space="preserve">NNF16</t>
  </si>
  <si>
    <t xml:space="preserve">Bridlington Hospital - City Health Care Partnership Cic</t>
  </si>
  <si>
    <t xml:space="preserve">City Health Care Partnership Cic</t>
  </si>
  <si>
    <t xml:space="preserve">Bridlington</t>
  </si>
  <si>
    <t xml:space="preserve">YO16 4QP</t>
  </si>
  <si>
    <t xml:space="preserve">00000 000000</t>
  </si>
  <si>
    <t xml:space="preserve">NMJ01</t>
  </si>
  <si>
    <t xml:space="preserve">Cygnet Hospital Godden Green</t>
  </si>
  <si>
    <t xml:space="preserve">TN15 0JR</t>
  </si>
  <si>
    <t xml:space="preserve">01732 763 491</t>
  </si>
  <si>
    <t xml:space="preserve">hayleymason@cygnethealth.co.uk</t>
  </si>
  <si>
    <t xml:space="preserve">http://www.cygnethealth.co.uk/locations/godden-green/index.html</t>
  </si>
  <si>
    <t xml:space="preserve">NMJ02</t>
  </si>
  <si>
    <t xml:space="preserve">Cygnet Hospital Bierley</t>
  </si>
  <si>
    <t xml:space="preserve">BD4 6AD</t>
  </si>
  <si>
    <t xml:space="preserve">01274 686 767</t>
  </si>
  <si>
    <t xml:space="preserve">jennymcvinnie@cygnethealth.co.uk</t>
  </si>
  <si>
    <t xml:space="preserve">http://www.cygnethealth.co.uk/locations/bierley</t>
  </si>
  <si>
    <t xml:space="preserve">NMJ03</t>
  </si>
  <si>
    <t xml:space="preserve">Cygnet Hospital Kewstoke</t>
  </si>
  <si>
    <t xml:space="preserve">BS22 9UZ</t>
  </si>
  <si>
    <t xml:space="preserve">01934 428989</t>
  </si>
  <si>
    <t xml:space="preserve">lornamatthews@cygnethealth.co.uk</t>
  </si>
  <si>
    <t xml:space="preserve">https://www.cygnethealth.co.uk/locations/kewstoke</t>
  </si>
  <si>
    <t xml:space="preserve">NNH02</t>
  </si>
  <si>
    <t xml:space="preserve">Optegra Eye Hospital Yorkshire</t>
  </si>
  <si>
    <t xml:space="preserve">BD10 0RD</t>
  </si>
  <si>
    <t xml:space="preserve">0808 301 2823</t>
  </si>
  <si>
    <t xml:space="preserve">icare.yorkshire@optegra.com</t>
  </si>
  <si>
    <t xml:space="preserve">NNH03</t>
  </si>
  <si>
    <t xml:space="preserve">Optegra Eye Hospital Surrey</t>
  </si>
  <si>
    <t xml:space="preserve">GU2 7YF</t>
  </si>
  <si>
    <t xml:space="preserve">01483 903 001</t>
  </si>
  <si>
    <t xml:space="preserve">icare.surrey@optegra.com</t>
  </si>
  <si>
    <t xml:space="preserve">NNH04</t>
  </si>
  <si>
    <t xml:space="preserve">Optegra Eye Hospital Manchester</t>
  </si>
  <si>
    <t xml:space="preserve">M20 2EY</t>
  </si>
  <si>
    <t xml:space="preserve">0161 240 0700</t>
  </si>
  <si>
    <t xml:space="preserve">icare.manchester@optegra.com</t>
  </si>
  <si>
    <t xml:space="preserve">NNH06</t>
  </si>
  <si>
    <t xml:space="preserve">Optegra Eye Hospital Hampshire</t>
  </si>
  <si>
    <t xml:space="preserve">PO15 7AD</t>
  </si>
  <si>
    <t xml:space="preserve">01329 316 700</t>
  </si>
  <si>
    <t xml:space="preserve">icare.hampshire@optegra.com</t>
  </si>
  <si>
    <t xml:space="preserve">NT822</t>
  </si>
  <si>
    <t xml:space="preserve">Nightingale Hospital</t>
  </si>
  <si>
    <t xml:space="preserve">Capio UK</t>
  </si>
  <si>
    <t xml:space="preserve">NW1 6SH</t>
  </si>
  <si>
    <t xml:space="preserve">020 7535 7700</t>
  </si>
  <si>
    <t xml:space="preserve">info@nightingalehospital.co.uk</t>
  </si>
  <si>
    <t xml:space="preserve">http://www.nightingalehospital.co.uk</t>
  </si>
  <si>
    <t xml:space="preserve">NTT09</t>
  </si>
  <si>
    <t xml:space="preserve">St Augustine's Independent Hospital</t>
  </si>
  <si>
    <t xml:space="preserve">Not Specified</t>
  </si>
  <si>
    <t xml:space="preserve">Cambian Healthcare Limited</t>
  </si>
  <si>
    <t xml:space="preserve">Stoke-On-Trent</t>
  </si>
  <si>
    <t xml:space="preserve">ST1 5JY</t>
  </si>
  <si>
    <t xml:space="preserve">NVD03</t>
  </si>
  <si>
    <t xml:space="preserve">St Barnabas Hospital</t>
  </si>
  <si>
    <t xml:space="preserve">Peninsula Plastic Surgery Ltd</t>
  </si>
  <si>
    <t xml:space="preserve">Saltash</t>
  </si>
  <si>
    <t xml:space="preserve">PL12 4BU</t>
  </si>
  <si>
    <t xml:space="preserve">NAX03</t>
  </si>
  <si>
    <t xml:space="preserve">Ecch Beccles Hospital</t>
  </si>
  <si>
    <t xml:space="preserve">East Coast Community Healthcare C.I.C</t>
  </si>
  <si>
    <t xml:space="preserve">Beccles</t>
  </si>
  <si>
    <t xml:space="preserve">NR34 9NQ</t>
  </si>
  <si>
    <t xml:space="preserve">01502 719820</t>
  </si>
  <si>
    <t xml:space="preserve">http://www.ecch.org</t>
  </si>
  <si>
    <t xml:space="preserve">NBI02</t>
  </si>
  <si>
    <t xml:space="preserve">Lakeside Medical Diagnostics - Billericay Community Hospital</t>
  </si>
  <si>
    <t xml:space="preserve">Lakeside Medical Diagnostics</t>
  </si>
  <si>
    <t xml:space="preserve">Billericay</t>
  </si>
  <si>
    <t xml:space="preserve">CM12 9SA</t>
  </si>
  <si>
    <t xml:space="preserve">NCK02</t>
  </si>
  <si>
    <t xml:space="preserve">St Catherine's Hospital</t>
  </si>
  <si>
    <t xml:space="preserve">E-Logica Ltd</t>
  </si>
  <si>
    <t xml:space="preserve">Birkenhead</t>
  </si>
  <si>
    <t xml:space="preserve">CH42 0LQ</t>
  </si>
  <si>
    <t xml:space="preserve">0151 514 2888</t>
  </si>
  <si>
    <t xml:space="preserve">NLR02</t>
  </si>
  <si>
    <t xml:space="preserve">Berkeley Hospital</t>
  </si>
  <si>
    <t xml:space="preserve">Gloucestershire Care Services Cic</t>
  </si>
  <si>
    <t xml:space="preserve">Berkeley</t>
  </si>
  <si>
    <t xml:space="preserve">GL13 9AD</t>
  </si>
  <si>
    <t xml:space="preserve">NMF01</t>
  </si>
  <si>
    <t xml:space="preserve">Brackley Cottage Hospital</t>
  </si>
  <si>
    <t xml:space="preserve">Brackley Hospital</t>
  </si>
  <si>
    <t xml:space="preserve">Brackley</t>
  </si>
  <si>
    <t xml:space="preserve">NN13 7DA</t>
  </si>
  <si>
    <t xml:space="preserve">NMQ01</t>
  </si>
  <si>
    <t xml:space="preserve">Ashwood Court Independent Hospital</t>
  </si>
  <si>
    <t xml:space="preserve">Making Space</t>
  </si>
  <si>
    <t xml:space="preserve">WA3 2RB</t>
  </si>
  <si>
    <t xml:space="preserve">NMW01</t>
  </si>
  <si>
    <t xml:space="preserve">Abbey Sefton Hospital</t>
  </si>
  <si>
    <t xml:space="preserve">Abbey Sefton Hospital (University Hospital Aintree)</t>
  </si>
  <si>
    <t xml:space="preserve">0151 330 6551</t>
  </si>
  <si>
    <t xml:space="preserve">NN101</t>
  </si>
  <si>
    <t xml:space="preserve">Royal Hospital For Neuro-Disability (West Hill)</t>
  </si>
  <si>
    <t xml:space="preserve">The Royal Hospital For Neuro-Disability</t>
  </si>
  <si>
    <t xml:space="preserve">SW15 3SW</t>
  </si>
  <si>
    <t xml:space="preserve">NQT95</t>
  </si>
  <si>
    <t xml:space="preserve">Haslemere Hospital</t>
  </si>
  <si>
    <t xml:space="preserve">Virgin Care Ltd</t>
  </si>
  <si>
    <t xml:space="preserve">Haslemere</t>
  </si>
  <si>
    <t xml:space="preserve">GU27 2BJ</t>
  </si>
  <si>
    <t xml:space="preserve">01483 782300</t>
  </si>
  <si>
    <t xml:space="preserve">R1C03</t>
  </si>
  <si>
    <t xml:space="preserve">Western Community Hospital</t>
  </si>
  <si>
    <t xml:space="preserve">Solent NHS Trust</t>
  </si>
  <si>
    <t xml:space="preserve">SO16 4XE</t>
  </si>
  <si>
    <t xml:space="preserve">02380540666</t>
  </si>
  <si>
    <t xml:space="preserve">https://www.southernhealth.nhs.uk/locations/western-community-hospital</t>
  </si>
  <si>
    <t xml:space="preserve">R1CA7</t>
  </si>
  <si>
    <t xml:space="preserve">Leigh House Hospital</t>
  </si>
  <si>
    <t xml:space="preserve">SO21 1HD</t>
  </si>
  <si>
    <t xml:space="preserve">R1CF2</t>
  </si>
  <si>
    <t xml:space="preserve">St James</t>
  </si>
  <si>
    <t xml:space="preserve">Southsea</t>
  </si>
  <si>
    <t xml:space="preserve">PO4 8LD</t>
  </si>
  <si>
    <t xml:space="preserve">R1CG1</t>
  </si>
  <si>
    <t xml:space="preserve">Chase Community Hospital</t>
  </si>
  <si>
    <t xml:space="preserve">Bordon</t>
  </si>
  <si>
    <t xml:space="preserve">GU35 0YZ</t>
  </si>
  <si>
    <t xml:space="preserve">R1CM8</t>
  </si>
  <si>
    <t xml:space="preserve">Elmleigh Hospital</t>
  </si>
  <si>
    <t xml:space="preserve">PO9 2JJ</t>
  </si>
  <si>
    <t xml:space="preserve">R1E75</t>
  </si>
  <si>
    <t xml:space="preserve">Longton Hospital</t>
  </si>
  <si>
    <t xml:space="preserve">ST3 4QX</t>
  </si>
  <si>
    <t xml:space="preserve">03001230975</t>
  </si>
  <si>
    <t xml:space="preserve">http://www.staffordshireandstokeontrent.nhs.uk</t>
  </si>
  <si>
    <t xml:space="preserve">NQG01</t>
  </si>
  <si>
    <t xml:space="preserve">Burrswood Health and Wellbeing</t>
  </si>
  <si>
    <t xml:space="preserve">TN3 9PY</t>
  </si>
  <si>
    <t xml:space="preserve">01892 863637</t>
  </si>
  <si>
    <t xml:space="preserve">enquiries@burrswood.org.uk</t>
  </si>
  <si>
    <t xml:space="preserve">http://www.burrswood.org.uk</t>
  </si>
  <si>
    <t xml:space="preserve">R1F01</t>
  </si>
  <si>
    <t xml:space="preserve">Isle Of Wight NHS Trust</t>
  </si>
  <si>
    <t xml:space="preserve">Newport</t>
  </si>
  <si>
    <t xml:space="preserve">Isle of Wight</t>
  </si>
  <si>
    <t xml:space="preserve">PO30 5TG</t>
  </si>
  <si>
    <t xml:space="preserve">0300 300 2016</t>
  </si>
  <si>
    <t xml:space="preserve">https://www.iow.nhs.uk</t>
  </si>
  <si>
    <t xml:space="preserve">RA212</t>
  </si>
  <si>
    <t xml:space="preserve">Cranleigh Village Hospital</t>
  </si>
  <si>
    <t xml:space="preserve">GU6 8AE</t>
  </si>
  <si>
    <t xml:space="preserve">01483782400</t>
  </si>
  <si>
    <t xml:space="preserve">RAX58</t>
  </si>
  <si>
    <t xml:space="preserve">New Victoria Hospital</t>
  </si>
  <si>
    <t xml:space="preserve">KT2 7EG</t>
  </si>
  <si>
    <t xml:space="preserve">020 8949 9000</t>
  </si>
  <si>
    <t xml:space="preserve">https://www.newvictoria.co.uk</t>
  </si>
  <si>
    <t xml:space="preserve">RAX60</t>
  </si>
  <si>
    <t xml:space="preserve">Ravenscourt Park Hospital</t>
  </si>
  <si>
    <t xml:space="preserve">W6 0TQ</t>
  </si>
  <si>
    <t xml:space="preserve">02088467777</t>
  </si>
  <si>
    <t xml:space="preserve">RAE5H</t>
  </si>
  <si>
    <t xml:space="preserve">Westbourne Green Community Hospital</t>
  </si>
  <si>
    <t xml:space="preserve">BD8 8RA</t>
  </si>
  <si>
    <t xml:space="preserve">01274322093</t>
  </si>
  <si>
    <t xml:space="preserve">RCB62</t>
  </si>
  <si>
    <t xml:space="preserve">Private Hospital (Nhs Provided Beds)</t>
  </si>
  <si>
    <t xml:space="preserve">YO12 6QL</t>
  </si>
  <si>
    <t xml:space="preserve">RDR2F</t>
  </si>
  <si>
    <t xml:space="preserve">Midhurst Community Hospital</t>
  </si>
  <si>
    <t xml:space="preserve">Midhurst</t>
  </si>
  <si>
    <t xml:space="preserve">GU29 9AW</t>
  </si>
  <si>
    <t xml:space="preserve">RDR3L</t>
  </si>
  <si>
    <t xml:space="preserve">Horsham Hospital</t>
  </si>
  <si>
    <t xml:space="preserve">Horsham</t>
  </si>
  <si>
    <t xml:space="preserve">RH12 2DR</t>
  </si>
  <si>
    <t xml:space="preserve">01403 227000</t>
  </si>
  <si>
    <t xml:space="preserve">http://www.sussexcommunity.nhs.uk/services/locations/horsham_hospital.htm</t>
  </si>
  <si>
    <t xml:space="preserve">RDYFT</t>
  </si>
  <si>
    <t xml:space="preserve">Maiden Castle House</t>
  </si>
  <si>
    <t xml:space="preserve">DT1 2ER</t>
  </si>
  <si>
    <t xml:space="preserve">RF4CH</t>
  </si>
  <si>
    <t xml:space="preserve">Chadwell Heath Hospital</t>
  </si>
  <si>
    <t xml:space="preserve">RM6 4XH</t>
  </si>
  <si>
    <t xml:space="preserve">RDZ11</t>
  </si>
  <si>
    <t xml:space="preserve">Boscombe Community Hospital</t>
  </si>
  <si>
    <t xml:space="preserve">BH1 4JQ</t>
  </si>
  <si>
    <t xml:space="preserve">RF4PH</t>
  </si>
  <si>
    <t xml:space="preserve">Private Hospitals</t>
  </si>
  <si>
    <t xml:space="preserve">RM3 0PU</t>
  </si>
  <si>
    <t xml:space="preserve">RF4VH</t>
  </si>
  <si>
    <t xml:space="preserve">Victoria Hospital (Romford)</t>
  </si>
  <si>
    <t xml:space="preserve">RM1 4HL</t>
  </si>
  <si>
    <t xml:space="preserve">0300 555 1045</t>
  </si>
  <si>
    <t xml:space="preserve">RH5F4</t>
  </si>
  <si>
    <t xml:space="preserve">Burnham On Sea War Memorial Hospital</t>
  </si>
  <si>
    <t xml:space="preserve">Burnham-On-Sea</t>
  </si>
  <si>
    <t xml:space="preserve">TA8 1ED</t>
  </si>
  <si>
    <t xml:space="preserve">01278 773100</t>
  </si>
  <si>
    <t xml:space="preserve">http://www.sompar.nhs.uk/our_services/adult_services/hospitals/burnham_hospital</t>
  </si>
  <si>
    <t xml:space="preserve">RH836</t>
  </si>
  <si>
    <t xml:space="preserve">Crediton Hospital</t>
  </si>
  <si>
    <t xml:space="preserve">Crediton</t>
  </si>
  <si>
    <t xml:space="preserve">EX17 3NH</t>
  </si>
  <si>
    <t xml:space="preserve">01363 775588</t>
  </si>
  <si>
    <t xml:space="preserve">RJ842</t>
  </si>
  <si>
    <t xml:space="preserve">Falmouth Hospital</t>
  </si>
  <si>
    <t xml:space="preserve">Falmouth</t>
  </si>
  <si>
    <t xml:space="preserve">TR11 2JA</t>
  </si>
  <si>
    <t xml:space="preserve">01326 430000</t>
  </si>
  <si>
    <t xml:space="preserve">https://www.cornwallft.nhs.uk/falmouth-community</t>
  </si>
  <si>
    <t xml:space="preserve">RJC56</t>
  </si>
  <si>
    <t xml:space="preserve">Bramcote Hospital</t>
  </si>
  <si>
    <t xml:space="preserve">CV11 6QL</t>
  </si>
  <si>
    <t xml:space="preserve">RJ129</t>
  </si>
  <si>
    <t xml:space="preserve">Dulwich Community Hospital</t>
  </si>
  <si>
    <t xml:space="preserve">SE22 8PT</t>
  </si>
  <si>
    <t xml:space="preserve">RHQPH</t>
  </si>
  <si>
    <t xml:space="preserve">Sheffield Teaching Hospitals</t>
  </si>
  <si>
    <t xml:space="preserve">0114 271 1900</t>
  </si>
  <si>
    <t xml:space="preserve">RL4CD</t>
  </si>
  <si>
    <t xml:space="preserve">West Park Hospital</t>
  </si>
  <si>
    <t xml:space="preserve">WV1 4PW</t>
  </si>
  <si>
    <t xml:space="preserve">01902 444000</t>
  </si>
  <si>
    <t xml:space="preserve">http://www.wolvespct.nhs.uk/Services/Service_pages/West_Park.asp</t>
  </si>
  <si>
    <t xml:space="preserve">RMP03</t>
  </si>
  <si>
    <t xml:space="preserve">Shirehill Hospital</t>
  </si>
  <si>
    <t xml:space="preserve">Glossop</t>
  </si>
  <si>
    <t xml:space="preserve">SK13 7QP</t>
  </si>
  <si>
    <t xml:space="preserve">RK935</t>
  </si>
  <si>
    <t xml:space="preserve">South Hams Hospital</t>
  </si>
  <si>
    <t xml:space="preserve">Kingsbridge</t>
  </si>
  <si>
    <t xml:space="preserve">TQ7 1AT</t>
  </si>
  <si>
    <t xml:space="preserve">01548 852349</t>
  </si>
  <si>
    <t xml:space="preserve">RNNCJ</t>
  </si>
  <si>
    <t xml:space="preserve">Keswick (Mary Hewetson) Community Hospital</t>
  </si>
  <si>
    <t xml:space="preserve">Keswick</t>
  </si>
  <si>
    <t xml:space="preserve">CA12 5PH</t>
  </si>
  <si>
    <t xml:space="preserve">01768 245678</t>
  </si>
  <si>
    <t xml:space="preserve">https://www.ncic.nhs.uk</t>
  </si>
  <si>
    <t xml:space="preserve">RNNCA</t>
  </si>
  <si>
    <t xml:space="preserve">Maryport Victoria Cottage Hospital</t>
  </si>
  <si>
    <t xml:space="preserve">Maryport</t>
  </si>
  <si>
    <t xml:space="preserve">CA15 8EJ</t>
  </si>
  <si>
    <t xml:space="preserve">01946 853333 (ext. 4)</t>
  </si>
  <si>
    <t xml:space="preserve">RNNRJ</t>
  </si>
  <si>
    <t xml:space="preserve">Alston (Ruth Lancaster James) Community Hospital</t>
  </si>
  <si>
    <t xml:space="preserve">Alston</t>
  </si>
  <si>
    <t xml:space="preserve">CA9 3QX</t>
  </si>
  <si>
    <t xml:space="preserve">01434 381218</t>
  </si>
  <si>
    <t xml:space="preserve">RN7C1</t>
  </si>
  <si>
    <t xml:space="preserve">Kent And Sussex Hospital</t>
  </si>
  <si>
    <t xml:space="preserve">TN4 8AT</t>
  </si>
  <si>
    <t xml:space="preserve">RN502</t>
  </si>
  <si>
    <t xml:space="preserve">Lord Mayor Treloar Hospital</t>
  </si>
  <si>
    <t xml:space="preserve">Alton</t>
  </si>
  <si>
    <t xml:space="preserve">GU34 1RJ</t>
  </si>
  <si>
    <t xml:space="preserve">RNU75</t>
  </si>
  <si>
    <t xml:space="preserve">The Fulbrook Centre</t>
  </si>
  <si>
    <t xml:space="preserve">OX3 7JU</t>
  </si>
  <si>
    <t xml:space="preserve">01865 902400</t>
  </si>
  <si>
    <t xml:space="preserve">RNUCK</t>
  </si>
  <si>
    <t xml:space="preserve">Didcot Community Hospital</t>
  </si>
  <si>
    <t xml:space="preserve">Didcot</t>
  </si>
  <si>
    <t xml:space="preserve">OX11 0AG</t>
  </si>
  <si>
    <t xml:space="preserve">01865 904423</t>
  </si>
  <si>
    <t xml:space="preserve">enquiries@oxfordhealth.nhs.uk</t>
  </si>
  <si>
    <t xml:space="preserve">http://www.oxfordhealth.nhs.uk</t>
  </si>
  <si>
    <t xml:space="preserve">RNUDJ</t>
  </si>
  <si>
    <t xml:space="preserve">Wallingford Community Hospital</t>
  </si>
  <si>
    <t xml:space="preserve">Wallingford</t>
  </si>
  <si>
    <t xml:space="preserve">OX10 9DU</t>
  </si>
  <si>
    <t xml:space="preserve">RNUDK</t>
  </si>
  <si>
    <t xml:space="preserve">Wantage Community Hospital</t>
  </si>
  <si>
    <t xml:space="preserve">Wantage</t>
  </si>
  <si>
    <t xml:space="preserve">OX12 7AS</t>
  </si>
  <si>
    <t xml:space="preserve">RP1F9</t>
  </si>
  <si>
    <t xml:space="preserve">Redcliffe Day Hospital</t>
  </si>
  <si>
    <t xml:space="preserve">NN8 5AH</t>
  </si>
  <si>
    <t xml:space="preserve">RP701</t>
  </si>
  <si>
    <t xml:space="preserve">Rochford Unit</t>
  </si>
  <si>
    <t xml:space="preserve">01205 446552</t>
  </si>
  <si>
    <t xml:space="preserve">RP7CG</t>
  </si>
  <si>
    <t xml:space="preserve">Witham Court - Brant Ward &amp; Langworth Ward</t>
  </si>
  <si>
    <t xml:space="preserve">LN6 8UZ</t>
  </si>
  <si>
    <t xml:space="preserve">01522 500690</t>
  </si>
  <si>
    <t xml:space="preserve">RP7DC</t>
  </si>
  <si>
    <t xml:space="preserve">Maple Lodge</t>
  </si>
  <si>
    <t xml:space="preserve">PE21 0AX</t>
  </si>
  <si>
    <t xml:space="preserve">01205 354900</t>
  </si>
  <si>
    <t xml:space="preserve">RP408</t>
  </si>
  <si>
    <t xml:space="preserve">St Johns Hospital</t>
  </si>
  <si>
    <t xml:space="preserve">CM2 9BG</t>
  </si>
  <si>
    <t xml:space="preserve">NVM02</t>
  </si>
  <si>
    <t xml:space="preserve">Epsom Day Surgery Limited</t>
  </si>
  <si>
    <t xml:space="preserve">Epsomedical Group</t>
  </si>
  <si>
    <t xml:space="preserve">KT17 4BL</t>
  </si>
  <si>
    <t xml:space="preserve">01932 588400</t>
  </si>
  <si>
    <t xml:space="preserve">enquires@epsomedical.co.uk</t>
  </si>
  <si>
    <t xml:space="preserve">http://www.epsomedical.co.uk</t>
  </si>
  <si>
    <t xml:space="preserve">NYW01</t>
  </si>
  <si>
    <t xml:space="preserve">Aspen - The Holly Private Hospital</t>
  </si>
  <si>
    <t xml:space="preserve">Aspen Healthcare Limited</t>
  </si>
  <si>
    <t xml:space="preserve">Buckhurst Hill</t>
  </si>
  <si>
    <t xml:space="preserve">IG9 5HX</t>
  </si>
  <si>
    <t xml:space="preserve">020 8505 3311</t>
  </si>
  <si>
    <t xml:space="preserve">http://www.theholly.com</t>
  </si>
  <si>
    <t xml:space="preserve">NYW02</t>
  </si>
  <si>
    <t xml:space="preserve">Aspen - Parkside Hospital</t>
  </si>
  <si>
    <t xml:space="preserve">SW19 5NX</t>
  </si>
  <si>
    <t xml:space="preserve">02089718000</t>
  </si>
  <si>
    <t xml:space="preserve">NYW03</t>
  </si>
  <si>
    <t xml:space="preserve">Highgate Private Hospital</t>
  </si>
  <si>
    <t xml:space="preserve">N6 4DJ</t>
  </si>
  <si>
    <t xml:space="preserve">020 8341 4182</t>
  </si>
  <si>
    <t xml:space="preserve">enquiries@highgatehospital.co.uk</t>
  </si>
  <si>
    <t xml:space="preserve">http://www.highgatehospital.co.uk</t>
  </si>
  <si>
    <t xml:space="preserve">NW601</t>
  </si>
  <si>
    <t xml:space="preserve">The Princess Grace Hospital</t>
  </si>
  <si>
    <t xml:space="preserve">W1U 5NY</t>
  </si>
  <si>
    <t xml:space="preserve">NW603</t>
  </si>
  <si>
    <t xml:space="preserve">SW1W 8RH</t>
  </si>
  <si>
    <t xml:space="preserve">020 7730 7733</t>
  </si>
  <si>
    <t xml:space="preserve">NW604</t>
  </si>
  <si>
    <t xml:space="preserve">The Portland Hospital For Women &amp; Children</t>
  </si>
  <si>
    <t xml:space="preserve">W1W 5AH</t>
  </si>
  <si>
    <t xml:space="preserve">NW608</t>
  </si>
  <si>
    <t xml:space="preserve">The Harley Street Clinic (Weymouth St)</t>
  </si>
  <si>
    <t xml:space="preserve">W1G 8BJ</t>
  </si>
  <si>
    <t xml:space="preserve">RPGCR</t>
  </si>
  <si>
    <t xml:space="preserve">Bridgeways Day Hospital</t>
  </si>
  <si>
    <t xml:space="preserve">BR2 8JA</t>
  </si>
  <si>
    <t xml:space="preserve">RRERS</t>
  </si>
  <si>
    <t xml:space="preserve">The Redwoods Centre</t>
  </si>
  <si>
    <t xml:space="preserve">SY3 8DS</t>
  </si>
  <si>
    <t xml:space="preserve">http://www.sssft.nhs.uk</t>
  </si>
  <si>
    <t xml:space="preserve">RT2C2</t>
  </si>
  <si>
    <t xml:space="preserve">Watergrove Day Hospital</t>
  </si>
  <si>
    <t xml:space="preserve">Pennine Care NHS Foundation Trust</t>
  </si>
  <si>
    <t xml:space="preserve">RTDAR</t>
  </si>
  <si>
    <t xml:space="preserve">Morpeth Cottage Hospital</t>
  </si>
  <si>
    <t xml:space="preserve">NE61 2BT</t>
  </si>
  <si>
    <t xml:space="preserve">RTH45</t>
  </si>
  <si>
    <t xml:space="preserve">Faringdon Day Hospital</t>
  </si>
  <si>
    <t xml:space="preserve">Faringdon</t>
  </si>
  <si>
    <t xml:space="preserve">SN7 8DS</t>
  </si>
  <si>
    <t xml:space="preserve">RV3FG</t>
  </si>
  <si>
    <t xml:space="preserve">Northwood &amp; Pinner Community Hospital</t>
  </si>
  <si>
    <t xml:space="preserve">RV929</t>
  </si>
  <si>
    <t xml:space="preserve">Granville Court</t>
  </si>
  <si>
    <t xml:space="preserve">Hornsea</t>
  </si>
  <si>
    <t xml:space="preserve">HU18 1NQ</t>
  </si>
  <si>
    <t xml:space="preserve">01964 561322</t>
  </si>
  <si>
    <t xml:space="preserve">RVN6V</t>
  </si>
  <si>
    <t xml:space="preserve">Melksham Community Hospital</t>
  </si>
  <si>
    <t xml:space="preserve">Melksham</t>
  </si>
  <si>
    <t xml:space="preserve">SN12 7NZ</t>
  </si>
  <si>
    <t xml:space="preserve">RVN6W</t>
  </si>
  <si>
    <t xml:space="preserve">Westbury Hospital</t>
  </si>
  <si>
    <t xml:space="preserve">Westbury</t>
  </si>
  <si>
    <t xml:space="preserve">BA13 3EL</t>
  </si>
  <si>
    <t xml:space="preserve">RW194</t>
  </si>
  <si>
    <t xml:space="preserve">Alton Community Hospital</t>
  </si>
  <si>
    <t xml:space="preserve">030 0003 2196</t>
  </si>
  <si>
    <t xml:space="preserve">RVRA1</t>
  </si>
  <si>
    <t xml:space="preserve">Surbiton Hospital</t>
  </si>
  <si>
    <t xml:space="preserve">KT6 6EZ</t>
  </si>
  <si>
    <t xml:space="preserve">RWK62</t>
  </si>
  <si>
    <t xml:space="preserve">City And Hackney Centre For Mental Health</t>
  </si>
  <si>
    <t xml:space="preserve">020 8510 8117</t>
  </si>
  <si>
    <t xml:space="preserve">RWW06</t>
  </si>
  <si>
    <t xml:space="preserve">Stretford Memorial Hospital</t>
  </si>
  <si>
    <t xml:space="preserve">M16 0DU</t>
  </si>
  <si>
    <t xml:space="preserve">RWY11</t>
  </si>
  <si>
    <t xml:space="preserve">Holmevalley Memorial Hospital</t>
  </si>
  <si>
    <t xml:space="preserve">Holmfirth</t>
  </si>
  <si>
    <t xml:space="preserve">HD9 3TS</t>
  </si>
  <si>
    <t xml:space="preserve">RWYC6</t>
  </si>
  <si>
    <t xml:space="preserve">Ilkley Coronation Hospital</t>
  </si>
  <si>
    <t xml:space="preserve">Ilkley</t>
  </si>
  <si>
    <t xml:space="preserve">LS29 8TH</t>
  </si>
  <si>
    <t xml:space="preserve">RWX84</t>
  </si>
  <si>
    <t xml:space="preserve">St Mark's Hospital</t>
  </si>
  <si>
    <t xml:space="preserve">SL6 6DU</t>
  </si>
  <si>
    <t xml:space="preserve">01628 632012</t>
  </si>
  <si>
    <t xml:space="preserve">https://www.berkshirehealthcare.nhs.uk</t>
  </si>
  <si>
    <t xml:space="preserve">RWX85</t>
  </si>
  <si>
    <t xml:space="preserve">Upton Hospital</t>
  </si>
  <si>
    <t xml:space="preserve">SL1 2BJ</t>
  </si>
  <si>
    <t xml:space="preserve">01753 821441</t>
  </si>
  <si>
    <t xml:space="preserve">https://www.berkshirehealthcare.nhs.uk/our-sites/slough/upton-hospital</t>
  </si>
  <si>
    <t xml:space="preserve">RXM56</t>
  </si>
  <si>
    <t xml:space="preserve">Midway Day Hospital</t>
  </si>
  <si>
    <t xml:space="preserve">Derbyshire Healthcare NHS Foundation Trust</t>
  </si>
  <si>
    <t xml:space="preserve">0115 907 1440</t>
  </si>
  <si>
    <t xml:space="preserve">RXN10</t>
  </si>
  <si>
    <t xml:space="preserve">Lytham Hospital</t>
  </si>
  <si>
    <t xml:space="preserve">FY8 5EE</t>
  </si>
  <si>
    <t xml:space="preserve">01253 657053</t>
  </si>
  <si>
    <t xml:space="preserve">RXP09</t>
  </si>
  <si>
    <t xml:space="preserve">Peterlee Community Hospital - County Durham and Darlington NHS Foundation Trust</t>
  </si>
  <si>
    <t xml:space="preserve">Peterlee</t>
  </si>
  <si>
    <t xml:space="preserve">SR8 5UQ</t>
  </si>
  <si>
    <t xml:space="preserve">RXPCG</t>
  </si>
  <si>
    <t xml:space="preserve">Horn Hall Hospital</t>
  </si>
  <si>
    <t xml:space="preserve">DL13 2JR</t>
  </si>
  <si>
    <t xml:space="preserve">RXPCL</t>
  </si>
  <si>
    <t xml:space="preserve">Sedgefield Community Hospital</t>
  </si>
  <si>
    <t xml:space="preserve">Stockton-On-Tees</t>
  </si>
  <si>
    <t xml:space="preserve">TS21 3EE</t>
  </si>
  <si>
    <t xml:space="preserve">RY20N</t>
  </si>
  <si>
    <t xml:space="preserve">Newton Community Hospital</t>
  </si>
  <si>
    <t xml:space="preserve">Bridgewater Community Healthcare NHS Foundation Trust</t>
  </si>
  <si>
    <t xml:space="preserve">Newton-Le-Willows</t>
  </si>
  <si>
    <t xml:space="preserve">WA12 8RB</t>
  </si>
  <si>
    <t xml:space="preserve">RY328</t>
  </si>
  <si>
    <t xml:space="preserve">Little Plumstead Hospital</t>
  </si>
  <si>
    <t xml:space="preserve">NR13 5EW</t>
  </si>
  <si>
    <t xml:space="preserve">RY551</t>
  </si>
  <si>
    <t xml:space="preserve">Grantham &amp; District Hospital</t>
  </si>
  <si>
    <t xml:space="preserve">Grantham</t>
  </si>
  <si>
    <t xml:space="preserve">01476 565232</t>
  </si>
  <si>
    <t xml:space="preserve">TAF21</t>
  </si>
  <si>
    <t xml:space="preserve">Camden Mews Day Hospital</t>
  </si>
  <si>
    <t xml:space="preserve">Camden and Islington NHS Foundation Trust</t>
  </si>
  <si>
    <t xml:space="preserve">NW1 9DB</t>
  </si>
  <si>
    <t xml:space="preserve">TAF36</t>
  </si>
  <si>
    <t xml:space="preserve">Fordwych Road Day Hospital</t>
  </si>
  <si>
    <t xml:space="preserve">NW2 3TL</t>
  </si>
  <si>
    <t xml:space="preserve">RXV64</t>
  </si>
  <si>
    <t xml:space="preserve">Hulton Hospital</t>
  </si>
  <si>
    <t xml:space="preserve">BL3 4JD</t>
  </si>
  <si>
    <t xml:space="preserve">TAHXM</t>
  </si>
  <si>
    <t xml:space="preserve">Forest Close</t>
  </si>
  <si>
    <t xml:space="preserve">Sheffield Health and Social Care NHS Foundation Trust</t>
  </si>
  <si>
    <t xml:space="preserve">S35 0JW</t>
  </si>
  <si>
    <t xml:space="preserve">01142716098</t>
  </si>
  <si>
    <t xml:space="preserve">http://www.shsc.nhs.uk</t>
  </si>
  <si>
    <t xml:space="preserve">TAHXN</t>
  </si>
  <si>
    <t xml:space="preserve">Forest Lodge</t>
  </si>
  <si>
    <t xml:space="preserve">0114 2716098</t>
  </si>
  <si>
    <t xml:space="preserve">RXT99</t>
  </si>
  <si>
    <t xml:space="preserve">Eden Unit</t>
  </si>
  <si>
    <t xml:space="preserve">B23 6AL</t>
  </si>
  <si>
    <t xml:space="preserve">0121 301 7369</t>
  </si>
  <si>
    <t xml:space="preserve">RW5AQ</t>
  </si>
  <si>
    <t xml:space="preserve">Longridge Community Hospital</t>
  </si>
  <si>
    <t xml:space="preserve">PR3 3WQ</t>
  </si>
  <si>
    <t xml:space="preserve">01772 777400</t>
  </si>
  <si>
    <t xml:space="preserve">https://www.lancashirecare.nhs.uk/Longridge</t>
  </si>
  <si>
    <t xml:space="preserve">TAD23</t>
  </si>
  <si>
    <t xml:space="preserve">Stoney Ridge Hospital</t>
  </si>
  <si>
    <t xml:space="preserve">Bingley</t>
  </si>
  <si>
    <t xml:space="preserve">BD16 1UL</t>
  </si>
  <si>
    <t xml:space="preserve">RXH60</t>
  </si>
  <si>
    <t xml:space="preserve">Sussex Orthopaedic Treatment Centre</t>
  </si>
  <si>
    <t xml:space="preserve">RH16 4EY</t>
  </si>
  <si>
    <t xml:space="preserve">RXC18</t>
  </si>
  <si>
    <t xml:space="preserve">Uckfield Hospital</t>
  </si>
  <si>
    <t xml:space="preserve">Uckfield</t>
  </si>
  <si>
    <t xml:space="preserve">TN22 5AW</t>
  </si>
  <si>
    <t xml:space="preserve">RJ231</t>
  </si>
  <si>
    <t xml:space="preserve">020 8836 6000</t>
  </si>
  <si>
    <t xml:space="preserve">NTN22</t>
  </si>
  <si>
    <t xml:space="preserve">The Priory Hospital Nottingham</t>
  </si>
  <si>
    <t xml:space="preserve">NG3 5GS</t>
  </si>
  <si>
    <t xml:space="preserve">0115 969 3388</t>
  </si>
  <si>
    <t xml:space="preserve">nottingham@priorygroup.com</t>
  </si>
  <si>
    <t xml:space="preserve">http://www.priorygroup.com/nottingham</t>
  </si>
  <si>
    <t xml:space="preserve">RWP14</t>
  </si>
  <si>
    <t xml:space="preserve">Pershore Community Hospital</t>
  </si>
  <si>
    <t xml:space="preserve">Pershore</t>
  </si>
  <si>
    <t xml:space="preserve">WR10 1PS</t>
  </si>
  <si>
    <t xml:space="preserve">RDE03</t>
  </si>
  <si>
    <t xml:space="preserve">Ipswich Hospital</t>
  </si>
  <si>
    <t xml:space="preserve">IP4 5PD</t>
  </si>
  <si>
    <t xml:space="preserve">RDEEE</t>
  </si>
  <si>
    <t xml:space="preserve">The Fryatt Hospital And Mayflower Medical Centre</t>
  </si>
  <si>
    <t xml:space="preserve">RJE09</t>
  </si>
  <si>
    <t xml:space="preserve">County Hospital</t>
  </si>
  <si>
    <t xml:space="preserve">ST16 3SA</t>
  </si>
  <si>
    <t xml:space="preserve">01785 257731</t>
  </si>
  <si>
    <t xml:space="preserve">RY8AH</t>
  </si>
  <si>
    <t xml:space="preserve">Buxton Hospital</t>
  </si>
  <si>
    <t xml:space="preserve">SK17 9NJ</t>
  </si>
  <si>
    <t xml:space="preserve">01298 214 000</t>
  </si>
  <si>
    <t xml:space="preserve">http://www.dchs.nhs.uk/home_redesign/our-services/find_services_by_location/buxtonhospital</t>
  </si>
  <si>
    <t xml:space="preserve">RY8AK</t>
  </si>
  <si>
    <t xml:space="preserve">Ash Green</t>
  </si>
  <si>
    <t xml:space="preserve">S42 7JE</t>
  </si>
  <si>
    <t xml:space="preserve">01246 565 000</t>
  </si>
  <si>
    <t xml:space="preserve">http://www.dchs.nhs.uk/home_redesign/our-services/find_services_by_location/ashgreen_learning_disabi</t>
  </si>
  <si>
    <t xml:space="preserve">NEN03</t>
  </si>
  <si>
    <t xml:space="preserve">Ida Darwin Hospital</t>
  </si>
  <si>
    <t xml:space="preserve">Serco Ltd</t>
  </si>
  <si>
    <t xml:space="preserve">CB21 5EE</t>
  </si>
  <si>
    <t xml:space="preserve">RXP63</t>
  </si>
  <si>
    <t xml:space="preserve">Hundens Lane Day Hospital - Darlington</t>
  </si>
  <si>
    <t xml:space="preserve">DL1 1JE</t>
  </si>
  <si>
    <t xml:space="preserve">RXP69</t>
  </si>
  <si>
    <t xml:space="preserve">Weardale Hospital</t>
  </si>
  <si>
    <t xml:space="preserve">RFRDG</t>
  </si>
  <si>
    <t xml:space="preserve">Doncaster Gate Hospital</t>
  </si>
  <si>
    <t xml:space="preserve">S65 1DA</t>
  </si>
  <si>
    <t xml:space="preserve">RA224</t>
  </si>
  <si>
    <t xml:space="preserve">Milford Hospital</t>
  </si>
  <si>
    <t xml:space="preserve">Godalming</t>
  </si>
  <si>
    <t xml:space="preserve">GU7 1UF</t>
  </si>
  <si>
    <t xml:space="preserve">RA228</t>
  </si>
  <si>
    <t xml:space="preserve">Hrh Princess Christian's Hospital</t>
  </si>
  <si>
    <t xml:space="preserve">SL4 5AD</t>
  </si>
  <si>
    <t xml:space="preserve">R1HKJ</t>
  </si>
  <si>
    <t xml:space="preserve">Wanstead Hospital</t>
  </si>
  <si>
    <t xml:space="preserve">E11 1UU</t>
  </si>
  <si>
    <t xml:space="preserve">RXPDC</t>
  </si>
  <si>
    <t xml:space="preserve">Durham Community Hospital</t>
  </si>
  <si>
    <t xml:space="preserve">DH1 5AJ</t>
  </si>
  <si>
    <t xml:space="preserve">RV378</t>
  </si>
  <si>
    <t xml:space="preserve">Elderly Day Hospital</t>
  </si>
  <si>
    <t xml:space="preserve">W10 6BD</t>
  </si>
  <si>
    <t xml:space="preserve">RNU30</t>
  </si>
  <si>
    <t xml:space="preserve">Littlemore Mental Health Centre</t>
  </si>
  <si>
    <t xml:space="preserve">OX4 4XN</t>
  </si>
  <si>
    <t xml:space="preserve">01865 901000</t>
  </si>
  <si>
    <t xml:space="preserve">RNU33</t>
  </si>
  <si>
    <t xml:space="preserve">Warneford Hospital</t>
  </si>
  <si>
    <t xml:space="preserve">OX3 7JX</t>
  </si>
  <si>
    <t xml:space="preserve">RWR96</t>
  </si>
  <si>
    <t xml:space="preserve">Kingsley Green</t>
  </si>
  <si>
    <t xml:space="preserve">Hertfordshire Partnership University NHS Foundation Trust</t>
  </si>
  <si>
    <t xml:space="preserve">Radlett</t>
  </si>
  <si>
    <t xml:space="preserve">WD7 9HQ</t>
  </si>
  <si>
    <t xml:space="preserve">01923 633000</t>
  </si>
  <si>
    <t xml:space="preserve">http://www.hpft.nhs.uk</t>
  </si>
  <si>
    <t xml:space="preserve">RNUCE</t>
  </si>
  <si>
    <t xml:space="preserve">Bicester Community Hospital</t>
  </si>
  <si>
    <t xml:space="preserve">Bicester</t>
  </si>
  <si>
    <t xml:space="preserve">OX26 6HT</t>
  </si>
  <si>
    <t xml:space="preserve">01865 903880</t>
  </si>
  <si>
    <t xml:space="preserve">http://www.oxfordhealth.nhs.uk/service_description/bicester-community-hospital</t>
  </si>
  <si>
    <t xml:space="preserve">RTR07</t>
  </si>
  <si>
    <t xml:space="preserve">Friary Hospital</t>
  </si>
  <si>
    <t xml:space="preserve">DL10 4UJ</t>
  </si>
  <si>
    <t xml:space="preserve">RC944</t>
  </si>
  <si>
    <t xml:space="preserve">Harpenden Memorial Hospital</t>
  </si>
  <si>
    <t xml:space="preserve">AL5 4TA</t>
  </si>
  <si>
    <t xml:space="preserve">RXQ92</t>
  </si>
  <si>
    <t xml:space="preserve">Paddocks Hospital</t>
  </si>
  <si>
    <t xml:space="preserve">Princes Risborough</t>
  </si>
  <si>
    <t xml:space="preserve">HP27 0JS</t>
  </si>
  <si>
    <t xml:space="preserve">RV942</t>
  </si>
  <si>
    <t xml:space="preserve">Mill View Court - Inpatient Unit</t>
  </si>
  <si>
    <t xml:space="preserve">01482 344530</t>
  </si>
  <si>
    <t xml:space="preserve">NNF70</t>
  </si>
  <si>
    <t xml:space="preserve">Alfred Bean Hospital</t>
  </si>
  <si>
    <t xml:space="preserve">Driffield</t>
  </si>
  <si>
    <t xml:space="preserve">YO25 5JR</t>
  </si>
  <si>
    <t xml:space="preserve">01377 208700</t>
  </si>
  <si>
    <t xml:space="preserve">RV989</t>
  </si>
  <si>
    <t xml:space="preserve">Coltman Street Day Hospital</t>
  </si>
  <si>
    <t xml:space="preserve">HU3 2SG</t>
  </si>
  <si>
    <t xml:space="preserve">01482336619</t>
  </si>
  <si>
    <t xml:space="preserve">RATPH</t>
  </si>
  <si>
    <t xml:space="preserve">Orsett Hospital Minor Injuries Unit - North East London NHS Foundation Trust</t>
  </si>
  <si>
    <t xml:space="preserve">Grays</t>
  </si>
  <si>
    <t xml:space="preserve">RM16 3EU</t>
  </si>
  <si>
    <t xml:space="preserve">RVRA7</t>
  </si>
  <si>
    <t xml:space="preserve">The Old Cottage Hospital</t>
  </si>
  <si>
    <t xml:space="preserve">RVRC7</t>
  </si>
  <si>
    <t xml:space="preserve">Wilson Hospital</t>
  </si>
  <si>
    <t xml:space="preserve">Mitcham</t>
  </si>
  <si>
    <t xml:space="preserve">CR4 4TP</t>
  </si>
  <si>
    <t xml:space="preserve">RVRC9</t>
  </si>
  <si>
    <t xml:space="preserve">KT19 8QJ</t>
  </si>
  <si>
    <t xml:space="preserve">RGDPL</t>
  </si>
  <si>
    <t xml:space="preserve">Parkside Lodge</t>
  </si>
  <si>
    <t xml:space="preserve">LS12 2HE</t>
  </si>
  <si>
    <t xml:space="preserve">RP7LA</t>
  </si>
  <si>
    <t xml:space="preserve">Department Of Psychiatry</t>
  </si>
  <si>
    <t xml:space="preserve">01205 446530</t>
  </si>
  <si>
    <t xml:space="preserve">RXV15</t>
  </si>
  <si>
    <t xml:space="preserve">Woodlands Hospital</t>
  </si>
  <si>
    <t xml:space="preserve">M28 0FE</t>
  </si>
  <si>
    <t xml:space="preserve">TAF02</t>
  </si>
  <si>
    <t xml:space="preserve">St Lukes Woodside Hospital</t>
  </si>
  <si>
    <t xml:space="preserve">N10 3HU</t>
  </si>
  <si>
    <t xml:space="preserve">RXV85</t>
  </si>
  <si>
    <t xml:space="preserve">St Annes Hospital</t>
  </si>
  <si>
    <t xml:space="preserve">WA14 2AN</t>
  </si>
  <si>
    <t xml:space="preserve">RAL25</t>
  </si>
  <si>
    <t xml:space="preserve">Hospital Of St John &amp; St Elizabeth</t>
  </si>
  <si>
    <t xml:space="preserve">NW8 9NH</t>
  </si>
  <si>
    <t xml:space="preserve">RAL26</t>
  </si>
  <si>
    <t xml:space="preserve">Barnet Hospital</t>
  </si>
  <si>
    <t xml:space="preserve">Barnet</t>
  </si>
  <si>
    <t xml:space="preserve">EN5 3DJ</t>
  </si>
  <si>
    <t xml:space="preserve">020 8216 4600</t>
  </si>
  <si>
    <t xml:space="preserve">https://www.royalfree.nhs.uk</t>
  </si>
  <si>
    <t xml:space="preserve">RTFCW</t>
  </si>
  <si>
    <t xml:space="preserve">Cw Private Hospital</t>
  </si>
  <si>
    <t xml:space="preserve">RHARY</t>
  </si>
  <si>
    <t xml:space="preserve">Wathwood Hospital</t>
  </si>
  <si>
    <t xml:space="preserve">S63 7TQ</t>
  </si>
  <si>
    <t xml:space="preserve">RK924</t>
  </si>
  <si>
    <t xml:space="preserve">Tavistock Maternity Hospital</t>
  </si>
  <si>
    <t xml:space="preserve">Tavistock</t>
  </si>
  <si>
    <t xml:space="preserve">PL19 8LD</t>
  </si>
  <si>
    <t xml:space="preserve">RHANM</t>
  </si>
  <si>
    <t xml:space="preserve">Highbury Hospital</t>
  </si>
  <si>
    <t xml:space="preserve">NG6 9DR</t>
  </si>
  <si>
    <t xml:space="preserve">0115 969 1300</t>
  </si>
  <si>
    <t xml:space="preserve">http://www.nottinghamshirehealthcare.nhs.uk/highbury</t>
  </si>
  <si>
    <t xml:space="preserve">RY584</t>
  </si>
  <si>
    <t xml:space="preserve">Horncastle War Memorial Hospital</t>
  </si>
  <si>
    <t xml:space="preserve">Horncastle</t>
  </si>
  <si>
    <t xml:space="preserve">LN9 5DX</t>
  </si>
  <si>
    <t xml:space="preserve">01507 543 300</t>
  </si>
  <si>
    <t xml:space="preserve">RP1J6</t>
  </si>
  <si>
    <t xml:space="preserve">Danetre Hospital</t>
  </si>
  <si>
    <t xml:space="preserve">Daventry</t>
  </si>
  <si>
    <t xml:space="preserve">NN11 4DY</t>
  </si>
  <si>
    <t xml:space="preserve">01327 708800</t>
  </si>
  <si>
    <t xml:space="preserve">https://www.nhft.nhs.uk/danetre</t>
  </si>
  <si>
    <t xml:space="preserve">RP1V4</t>
  </si>
  <si>
    <t xml:space="preserve">Berrywood Hospital</t>
  </si>
  <si>
    <t xml:space="preserve">NN5 6UD</t>
  </si>
  <si>
    <t xml:space="preserve">RV3DY</t>
  </si>
  <si>
    <t xml:space="preserve">St Pancras Hospital</t>
  </si>
  <si>
    <t xml:space="preserve">NW1 0PE</t>
  </si>
  <si>
    <t xml:space="preserve">020 3317 3500</t>
  </si>
  <si>
    <t xml:space="preserve">RNUDM</t>
  </si>
  <si>
    <t xml:space="preserve">Witney Community Hospital</t>
  </si>
  <si>
    <t xml:space="preserve">Witney</t>
  </si>
  <si>
    <t xml:space="preserve">OX28 6JJ</t>
  </si>
  <si>
    <t xml:space="preserve">01865 904222</t>
  </si>
  <si>
    <t xml:space="preserve">https://www.oxfordhealth.nhs.uk/service_description/witney-community-hospital</t>
  </si>
  <si>
    <t xml:space="preserve">RNUDQ</t>
  </si>
  <si>
    <t xml:space="preserve">Abingdon Community Hospital</t>
  </si>
  <si>
    <t xml:space="preserve">Abingdon</t>
  </si>
  <si>
    <t xml:space="preserve">OX14 1AG</t>
  </si>
  <si>
    <t xml:space="preserve">01865 904346</t>
  </si>
  <si>
    <t xml:space="preserve">RTHG4</t>
  </si>
  <si>
    <t xml:space="preserve">Moreton District Hospital</t>
  </si>
  <si>
    <t xml:space="preserve">Moreton-In-Marsh</t>
  </si>
  <si>
    <t xml:space="preserve">GL56 0BS</t>
  </si>
  <si>
    <t xml:space="preserve">RNZ32</t>
  </si>
  <si>
    <t xml:space="preserve">Warminster Community Hospital</t>
  </si>
  <si>
    <t xml:space="preserve">Warminster</t>
  </si>
  <si>
    <t xml:space="preserve">BA12 8QS</t>
  </si>
  <si>
    <t xml:space="preserve">RY333</t>
  </si>
  <si>
    <t xml:space="preserve">Wells Cottage Hospital</t>
  </si>
  <si>
    <t xml:space="preserve">Wells-Next-The-Sea</t>
  </si>
  <si>
    <t xml:space="preserve">NR23 1RF</t>
  </si>
  <si>
    <t xml:space="preserve">RDR3E</t>
  </si>
  <si>
    <t xml:space="preserve">Crawley Hospital- Sussex Community NHS Trust</t>
  </si>
  <si>
    <t xml:space="preserve">RH11 7DH</t>
  </si>
  <si>
    <t xml:space="preserve">RW1Q2</t>
  </si>
  <si>
    <t xml:space="preserve">Fenwick Hospital</t>
  </si>
  <si>
    <t xml:space="preserve">Lyndhurst</t>
  </si>
  <si>
    <t xml:space="preserve">SO43 7NG</t>
  </si>
  <si>
    <t xml:space="preserve">RW1Q6</t>
  </si>
  <si>
    <t xml:space="preserve">Hythe Hospital</t>
  </si>
  <si>
    <t xml:space="preserve">SO45 4ZB</t>
  </si>
  <si>
    <t xml:space="preserve">023 8042 3203</t>
  </si>
  <si>
    <t xml:space="preserve">https://www.southernhealth.nhs.uk/locations/hythe-hospital</t>
  </si>
  <si>
    <t xml:space="preserve">RW1YH</t>
  </si>
  <si>
    <t xml:space="preserve">Ashurst Hospital</t>
  </si>
  <si>
    <t xml:space="preserve">SO40 7AR</t>
  </si>
  <si>
    <t xml:space="preserve">RW1YM</t>
  </si>
  <si>
    <t xml:space="preserve">Lymington New Forest Hospital</t>
  </si>
  <si>
    <t xml:space="preserve">Lymington</t>
  </si>
  <si>
    <t xml:space="preserve">SO41 8QD</t>
  </si>
  <si>
    <t xml:space="preserve">01590 663000</t>
  </si>
  <si>
    <t xml:space="preserve">https://www.southernhealth.nhs.uk/locations/lymington-new-forest-hospital</t>
  </si>
  <si>
    <t xml:space="preserve">R1CG5</t>
  </si>
  <si>
    <t xml:space="preserve">Milford War Memorial Hospital</t>
  </si>
  <si>
    <t xml:space="preserve">SO41 0PG</t>
  </si>
  <si>
    <t xml:space="preserve">RATAP</t>
  </si>
  <si>
    <t xml:space="preserve">Barking Community Hospital</t>
  </si>
  <si>
    <t xml:space="preserve">Barking</t>
  </si>
  <si>
    <t xml:space="preserve">IG11 9LX</t>
  </si>
  <si>
    <t xml:space="preserve">02036442301</t>
  </si>
  <si>
    <t xml:space="preserve">TAHXP</t>
  </si>
  <si>
    <t xml:space="preserve">Grenoside Grange</t>
  </si>
  <si>
    <t xml:space="preserve">S35 8QS</t>
  </si>
  <si>
    <t xml:space="preserve">TAHCC</t>
  </si>
  <si>
    <t xml:space="preserve">The Longley Centre</t>
  </si>
  <si>
    <t xml:space="preserve">S5 7JT</t>
  </si>
  <si>
    <t xml:space="preserve">0114 2261600</t>
  </si>
  <si>
    <t xml:space="preserve">RHU16</t>
  </si>
  <si>
    <t xml:space="preserve">Emsworth Hospital</t>
  </si>
  <si>
    <t xml:space="preserve">Emsworth</t>
  </si>
  <si>
    <t xml:space="preserve">PO10 7DD</t>
  </si>
  <si>
    <t xml:space="preserve">RPGDJ</t>
  </si>
  <si>
    <t xml:space="preserve">Upton Day Hospital</t>
  </si>
  <si>
    <t xml:space="preserve">Bexleyheath</t>
  </si>
  <si>
    <t xml:space="preserve">DA6 8LQ</t>
  </si>
  <si>
    <t xml:space="preserve">RY409</t>
  </si>
  <si>
    <t xml:space="preserve">Herts &amp; Essex Hospital</t>
  </si>
  <si>
    <t xml:space="preserve">Hertfordshire Community NHS Trust</t>
  </si>
  <si>
    <t xml:space="preserve">Bishop's Stortford</t>
  </si>
  <si>
    <t xml:space="preserve">CM23 5JH</t>
  </si>
  <si>
    <t xml:space="preserve">01279 655191</t>
  </si>
  <si>
    <t xml:space="preserve">https://www.hct.nhs.uk</t>
  </si>
  <si>
    <t xml:space="preserve">RY412</t>
  </si>
  <si>
    <t xml:space="preserve">Welwyn</t>
  </si>
  <si>
    <t xml:space="preserve">AL6 9PW</t>
  </si>
  <si>
    <t xml:space="preserve">01438 841800</t>
  </si>
  <si>
    <t xml:space="preserve">NM601</t>
  </si>
  <si>
    <t xml:space="preserve">St Georges Hospital</t>
  </si>
  <si>
    <t xml:space="preserve">St Georges Hospital Ltd</t>
  </si>
  <si>
    <t xml:space="preserve">SO41 0PS</t>
  </si>
  <si>
    <t xml:space="preserve">RW170</t>
  </si>
  <si>
    <t xml:space="preserve">Petersfield Hospital - Southern Health NHS Foundation Trust</t>
  </si>
  <si>
    <t xml:space="preserve">Petersfield</t>
  </si>
  <si>
    <t xml:space="preserve">GU32 3LB</t>
  </si>
  <si>
    <t xml:space="preserve">02382 319000</t>
  </si>
  <si>
    <t xml:space="preserve">https://www.southernhealth.nhs.uk/locations/petersfield-community-hospital</t>
  </si>
  <si>
    <t xml:space="preserve">NL001</t>
  </si>
  <si>
    <t xml:space="preserve">John Munroe Hospital Site</t>
  </si>
  <si>
    <t xml:space="preserve">John Munroe Hospital</t>
  </si>
  <si>
    <t xml:space="preserve">Leek</t>
  </si>
  <si>
    <t xml:space="preserve">ST13 8RU</t>
  </si>
  <si>
    <t xml:space="preserve">RW1FY</t>
  </si>
  <si>
    <t xml:space="preserve">Romsey Hospital</t>
  </si>
  <si>
    <t xml:space="preserve">Romsey</t>
  </si>
  <si>
    <t xml:space="preserve">SO51 7ZA</t>
  </si>
  <si>
    <t xml:space="preserve">023 8231 0350</t>
  </si>
  <si>
    <t xml:space="preserve">https://www.southernhealth.nhs.uk/locations/romsey-hospital</t>
  </si>
  <si>
    <t xml:space="preserve">RXP35</t>
  </si>
  <si>
    <t xml:space="preserve">New Richardson Hospital</t>
  </si>
  <si>
    <t xml:space="preserve">Barnard Castle</t>
  </si>
  <si>
    <t xml:space="preserve">DL12 8HT</t>
  </si>
  <si>
    <t xml:space="preserve">01833 696500</t>
  </si>
  <si>
    <t xml:space="preserve">RAJ32</t>
  </si>
  <si>
    <t xml:space="preserve">Mid Essex Hospital</t>
  </si>
  <si>
    <t xml:space="preserve">CM1 7ET</t>
  </si>
  <si>
    <t xml:space="preserve">RN331</t>
  </si>
  <si>
    <t xml:space="preserve">Malmesbury Community Hospital</t>
  </si>
  <si>
    <t xml:space="preserve">Malmesbury</t>
  </si>
  <si>
    <t xml:space="preserve">SN16 0EQ</t>
  </si>
  <si>
    <t xml:space="preserve">R1EE3</t>
  </si>
  <si>
    <t xml:space="preserve">Leek Moorlands Hospital</t>
  </si>
  <si>
    <t xml:space="preserve">ST13 5BQ</t>
  </si>
  <si>
    <t xml:space="preserve">0300 123 1894</t>
  </si>
  <si>
    <t xml:space="preserve">http://www.staffordshireandstokeontrent.nhs.uk/Services/leek-moorlands-hospital.htm</t>
  </si>
  <si>
    <t xml:space="preserve">R1EE4</t>
  </si>
  <si>
    <t xml:space="preserve">Cheadle Hospital</t>
  </si>
  <si>
    <t xml:space="preserve">ST10 1NS</t>
  </si>
  <si>
    <t xml:space="preserve">0300 7900 232</t>
  </si>
  <si>
    <t xml:space="preserve">R1EE5</t>
  </si>
  <si>
    <t xml:space="preserve">Bradwell Hospital</t>
  </si>
  <si>
    <t xml:space="preserve">Newcastle under Lyme</t>
  </si>
  <si>
    <t xml:space="preserve">ST5 7NJ</t>
  </si>
  <si>
    <t xml:space="preserve">0300 123 0905</t>
  </si>
  <si>
    <t xml:space="preserve">NYY01</t>
  </si>
  <si>
    <t xml:space="preserve">The Chartwell Hospital</t>
  </si>
  <si>
    <t xml:space="preserve">Chartwell Private Hospitals Ltd</t>
  </si>
  <si>
    <t xml:space="preserve">Leigh-On-Sea</t>
  </si>
  <si>
    <t xml:space="preserve">SS9 2SQ</t>
  </si>
  <si>
    <t xml:space="preserve">01702 478885</t>
  </si>
  <si>
    <t xml:space="preserve">info@chartwellprivatehospital.co.uk</t>
  </si>
  <si>
    <t xml:space="preserve">http://www.chartwelldiagnostics.co.uk</t>
  </si>
  <si>
    <t xml:space="preserve">NR608</t>
  </si>
  <si>
    <t xml:space="preserve">St Luke's Hospital</t>
  </si>
  <si>
    <t xml:space="preserve">St. Luke's Health Care</t>
  </si>
  <si>
    <t xml:space="preserve">NR17 1AE</t>
  </si>
  <si>
    <t xml:space="preserve">NRC01</t>
  </si>
  <si>
    <t xml:space="preserve">Riverdale Hospital</t>
  </si>
  <si>
    <t xml:space="preserve">Riverdale Grange Limited</t>
  </si>
  <si>
    <t xml:space="preserve">S10 3FE</t>
  </si>
  <si>
    <t xml:space="preserve">RJ803</t>
  </si>
  <si>
    <t xml:space="preserve">Edward Hain Hospital</t>
  </si>
  <si>
    <t xml:space="preserve">St. Ives</t>
  </si>
  <si>
    <t xml:space="preserve">TR26 2BS</t>
  </si>
  <si>
    <t xml:space="preserve">01736 571300</t>
  </si>
  <si>
    <t xml:space="preserve">http://www.cornwallft.nhs.uk/hospitals/edward-hain</t>
  </si>
  <si>
    <t xml:space="preserve">RJ805</t>
  </si>
  <si>
    <t xml:space="preserve">Helston Hospital - Cornwall Partnership NHS Foundation Trust</t>
  </si>
  <si>
    <t xml:space="preserve">Helston</t>
  </si>
  <si>
    <t xml:space="preserve">TR13 8DR</t>
  </si>
  <si>
    <t xml:space="preserve">01326 430200</t>
  </si>
  <si>
    <t xml:space="preserve">http://www.cornwallft.nhs.uk/hospitals/helston</t>
  </si>
  <si>
    <t xml:space="preserve">RJ809</t>
  </si>
  <si>
    <t xml:space="preserve">St Mary - Cornwall Partnership NHS Foundation Trust</t>
  </si>
  <si>
    <t xml:space="preserve">St. Marys</t>
  </si>
  <si>
    <t xml:space="preserve">TR21 0LE</t>
  </si>
  <si>
    <t xml:space="preserve">01720 422392</t>
  </si>
  <si>
    <t xml:space="preserve">https://www.cornwallft.nhs.uk/st-marys-community</t>
  </si>
  <si>
    <t xml:space="preserve">RXCLV</t>
  </si>
  <si>
    <t xml:space="preserve">Lewes Victoria Hospital</t>
  </si>
  <si>
    <t xml:space="preserve">Lewes</t>
  </si>
  <si>
    <t xml:space="preserve">BN7 1PE</t>
  </si>
  <si>
    <t xml:space="preserve">01273 474153</t>
  </si>
  <si>
    <t xml:space="preserve">RYG12</t>
  </si>
  <si>
    <t xml:space="preserve">Pembleton Unit</t>
  </si>
  <si>
    <t xml:space="preserve">CV11 5HX</t>
  </si>
  <si>
    <t xml:space="preserve">02476321507</t>
  </si>
  <si>
    <t xml:space="preserve">http://www.covwarkpt.nhs.uk</t>
  </si>
  <si>
    <t xml:space="preserve">RKEAN</t>
  </si>
  <si>
    <t xml:space="preserve">St. Ann's Hospital</t>
  </si>
  <si>
    <t xml:space="preserve">N15 3TH</t>
  </si>
  <si>
    <t xml:space="preserve">NNH07</t>
  </si>
  <si>
    <t xml:space="preserve">Optegra Eye Hospital North London</t>
  </si>
  <si>
    <t xml:space="preserve">NW9 6BX</t>
  </si>
  <si>
    <t xml:space="preserve">0208 205 8003</t>
  </si>
  <si>
    <t xml:space="preserve">icare.northlondon@optegra.com</t>
  </si>
  <si>
    <t xml:space="preserve">RKL79</t>
  </si>
  <si>
    <t xml:space="preserve">Hammersmith &amp; Fulham Mental Health Unit</t>
  </si>
  <si>
    <t xml:space="preserve">W6 8NF</t>
  </si>
  <si>
    <t xml:space="preserve">020 7386 1177</t>
  </si>
  <si>
    <t xml:space="preserve">RWX80</t>
  </si>
  <si>
    <t xml:space="preserve">King Edward Vii</t>
  </si>
  <si>
    <t xml:space="preserve">01753 860441</t>
  </si>
  <si>
    <t xml:space="preserve">RWW10</t>
  </si>
  <si>
    <t xml:space="preserve">WA2 8DB</t>
  </si>
  <si>
    <t xml:space="preserve">R1AAN</t>
  </si>
  <si>
    <t xml:space="preserve">Tenbury Community Hospital</t>
  </si>
  <si>
    <t xml:space="preserve">Tenbury Wells</t>
  </si>
  <si>
    <t xml:space="preserve">WR15 8AP</t>
  </si>
  <si>
    <t xml:space="preserve">01584 810643</t>
  </si>
  <si>
    <t xml:space="preserve">http://www.hacw.nhs.uk/our-services/community-hospitals/tenbury-hospital</t>
  </si>
  <si>
    <t xml:space="preserve">R1E56</t>
  </si>
  <si>
    <t xml:space="preserve">Haywood Hospital</t>
  </si>
  <si>
    <t xml:space="preserve">ST6 7AG</t>
  </si>
  <si>
    <t xml:space="preserve">0300 303 1268</t>
  </si>
  <si>
    <t xml:space="preserve">https://www.mpft.nhs.uk/services/haywood-community-hospital</t>
  </si>
  <si>
    <t xml:space="preserve">RCBWD</t>
  </si>
  <si>
    <t xml:space="preserve">Woodlands Private Hospital (Sney)</t>
  </si>
  <si>
    <t xml:space="preserve">YO12 6QN</t>
  </si>
  <si>
    <t xml:space="preserve">RW11F</t>
  </si>
  <si>
    <t xml:space="preserve">Odiham Cottage Hospital</t>
  </si>
  <si>
    <t xml:space="preserve">Hook</t>
  </si>
  <si>
    <t xml:space="preserve">RG29 1NE</t>
  </si>
  <si>
    <t xml:space="preserve">01256 393600</t>
  </si>
  <si>
    <t xml:space="preserve">RW11J</t>
  </si>
  <si>
    <t xml:space="preserve">Fleet Community Hospital</t>
  </si>
  <si>
    <t xml:space="preserve">Fleet</t>
  </si>
  <si>
    <t xml:space="preserve">GU51 4LZ</t>
  </si>
  <si>
    <t xml:space="preserve">01252 813800</t>
  </si>
  <si>
    <t xml:space="preserve">RMYMF</t>
  </si>
  <si>
    <t xml:space="preserve">St. Leonards Hospital</t>
  </si>
  <si>
    <t xml:space="preserve">Sudbury</t>
  </si>
  <si>
    <t xml:space="preserve">CO10 2RQ</t>
  </si>
  <si>
    <t xml:space="preserve">RMYMR</t>
  </si>
  <si>
    <t xml:space="preserve">Hartismere Hospital</t>
  </si>
  <si>
    <t xml:space="preserve">Eye</t>
  </si>
  <si>
    <t xml:space="preserve">IP23 7BH</t>
  </si>
  <si>
    <t xml:space="preserve">RMYMV</t>
  </si>
  <si>
    <t xml:space="preserve">St Clements Hospital, Ipswich</t>
  </si>
  <si>
    <t xml:space="preserve">IP3 8LS</t>
  </si>
  <si>
    <t xml:space="preserve">01473 329467</t>
  </si>
  <si>
    <t xml:space="preserve">RBN56</t>
  </si>
  <si>
    <t xml:space="preserve">Walton Hospital Rice Lane</t>
  </si>
  <si>
    <t xml:space="preserve">L9 1NL</t>
  </si>
  <si>
    <t xml:space="preserve">NR101</t>
  </si>
  <si>
    <t xml:space="preserve">Woodside Hospital Site</t>
  </si>
  <si>
    <t xml:space="preserve">Woodside Hospital</t>
  </si>
  <si>
    <t xml:space="preserve">BD6 3DQ</t>
  </si>
  <si>
    <t xml:space="preserve">NN601</t>
  </si>
  <si>
    <t xml:space="preserve">All Hallows Hospital (Station Road)</t>
  </si>
  <si>
    <t xml:space="preserve">All Hallows Hospital</t>
  </si>
  <si>
    <t xml:space="preserve">Bungay</t>
  </si>
  <si>
    <t xml:space="preserve">NR35 2QL</t>
  </si>
  <si>
    <t xml:space="preserve">NN801</t>
  </si>
  <si>
    <t xml:space="preserve">Spencer Private Hospitals, Margate</t>
  </si>
  <si>
    <t xml:space="preserve">East Kent Medical Services Ltd</t>
  </si>
  <si>
    <t xml:space="preserve">CT9 4BG</t>
  </si>
  <si>
    <t xml:space="preserve">01843 234555</t>
  </si>
  <si>
    <t xml:space="preserve">enquiries@spencerhospitals.com</t>
  </si>
  <si>
    <t xml:space="preserve">http://www.spencerprivatehospitals.com</t>
  </si>
  <si>
    <t xml:space="preserve">RTG02</t>
  </si>
  <si>
    <t xml:space="preserve">Queen's Hospital Burton</t>
  </si>
  <si>
    <t xml:space="preserve">Burton-On-Trent</t>
  </si>
  <si>
    <t xml:space="preserve">DE13 0RB</t>
  </si>
  <si>
    <t xml:space="preserve">01283 566333</t>
  </si>
  <si>
    <t xml:space="preserve">RP1N8</t>
  </si>
  <si>
    <t xml:space="preserve">Corby Community Hospital</t>
  </si>
  <si>
    <t xml:space="preserve">Corby</t>
  </si>
  <si>
    <t xml:space="preserve">NN17 2UN</t>
  </si>
  <si>
    <t xml:space="preserve">01536 748086</t>
  </si>
  <si>
    <t xml:space="preserve">https://www.nhft.nhs.uk/adult-community-beds</t>
  </si>
  <si>
    <t xml:space="preserve">RV581</t>
  </si>
  <si>
    <t xml:space="preserve">Lewisham Heather Close</t>
  </si>
  <si>
    <t xml:space="preserve">SE13 6UG</t>
  </si>
  <si>
    <t xml:space="preserve">020 3228 0720</t>
  </si>
  <si>
    <t xml:space="preserve">http://www.slam.nhs.uk</t>
  </si>
  <si>
    <t xml:space="preserve">RN7FM</t>
  </si>
  <si>
    <t xml:space="preserve">Fawkham Manor Hospital</t>
  </si>
  <si>
    <t xml:space="preserve">Longfield</t>
  </si>
  <si>
    <t xml:space="preserve">DA3 8ND</t>
  </si>
  <si>
    <t xml:space="preserve">RK965</t>
  </si>
  <si>
    <t xml:space="preserve">St. Austell Community Hospital</t>
  </si>
  <si>
    <t xml:space="preserve">PL26 6AA</t>
  </si>
  <si>
    <t xml:space="preserve">NV615</t>
  </si>
  <si>
    <t xml:space="preserve">Ulverston Community Hospital</t>
  </si>
  <si>
    <t xml:space="preserve">Pds Medical Ltd</t>
  </si>
  <si>
    <t xml:space="preserve">Ulverston</t>
  </si>
  <si>
    <t xml:space="preserve">LA12 7BT</t>
  </si>
  <si>
    <t xml:space="preserve">R1J21</t>
  </si>
  <si>
    <t xml:space="preserve">North Cotswold Hospital</t>
  </si>
  <si>
    <t xml:space="preserve">Gloucestershire Care Services NHS Trust</t>
  </si>
  <si>
    <t xml:space="preserve">GL56 0DS</t>
  </si>
  <si>
    <t xml:space="preserve">0300 421 8770</t>
  </si>
  <si>
    <t xml:space="preserve">http://www.glos-care.nhs.uk/our-services/community-hospitals/north-cotswolds-hospital</t>
  </si>
  <si>
    <t xml:space="preserve">NMJ05</t>
  </si>
  <si>
    <t xml:space="preserve">Cygnet Hospital Blackheath</t>
  </si>
  <si>
    <t xml:space="preserve">SE10 8AD</t>
  </si>
  <si>
    <t xml:space="preserve">020 8694 2111</t>
  </si>
  <si>
    <t xml:space="preserve">rebeccapye@cygnethealth.co.uk</t>
  </si>
  <si>
    <t xml:space="preserve">https://www.cygnethealth.co.uk/locations/cygnet-hospital-blackheath</t>
  </si>
  <si>
    <t xml:space="preserve">NMJ06</t>
  </si>
  <si>
    <t xml:space="preserve">Cygnet Lodge Brighouse</t>
  </si>
  <si>
    <t xml:space="preserve">Brighouse</t>
  </si>
  <si>
    <t xml:space="preserve">HD6 3EL</t>
  </si>
  <si>
    <t xml:space="preserve">01484 405 900</t>
  </si>
  <si>
    <t xml:space="preserve">clareheaton@cygnethealth.co.uk</t>
  </si>
  <si>
    <t xml:space="preserve">https://www.cygnethealth.co.uk/locations/cygnet-lodge-brighouse</t>
  </si>
  <si>
    <t xml:space="preserve">NMJ13</t>
  </si>
  <si>
    <t xml:space="preserve">Cygnet Lodge Lewisham</t>
  </si>
  <si>
    <t xml:space="preserve">SE13 6QZ</t>
  </si>
  <si>
    <t xml:space="preserve">020 8314 5123</t>
  </si>
  <si>
    <t xml:space="preserve">https://www.cygnethealth.co.uk/locations/cygnet-lodge-lewisham</t>
  </si>
  <si>
    <t xml:space="preserve">NMJ14</t>
  </si>
  <si>
    <t xml:space="preserve">Cygnet Lodge Kenton</t>
  </si>
  <si>
    <t xml:space="preserve">Kenton</t>
  </si>
  <si>
    <t xml:space="preserve">HA3 8AE</t>
  </si>
  <si>
    <t xml:space="preserve">020 8907 0770</t>
  </si>
  <si>
    <t xml:space="preserve">https://www.cygnethealth.co.uk/locations/cygnet-lodge-kenton</t>
  </si>
  <si>
    <t xml:space="preserve">NMJ04</t>
  </si>
  <si>
    <t xml:space="preserve">Cygnet Hospital Beckton</t>
  </si>
  <si>
    <t xml:space="preserve">E6 6ZB</t>
  </si>
  <si>
    <t xml:space="preserve">020 7511 2299</t>
  </si>
  <si>
    <t xml:space="preserve">jackiewolf@cygnethealth.co.uk</t>
  </si>
  <si>
    <t xml:space="preserve">http://www.cygnethealth.co.uk/locations/beckton</t>
  </si>
  <si>
    <t xml:space="preserve">NMJ07</t>
  </si>
  <si>
    <t xml:space="preserve">Cygnet Hospital Derby</t>
  </si>
  <si>
    <t xml:space="preserve">DE24 8WZ</t>
  </si>
  <si>
    <t xml:space="preserve">01332 365434</t>
  </si>
  <si>
    <t xml:space="preserve">markvarney@cygnethealth.co.uk</t>
  </si>
  <si>
    <t xml:space="preserve">https://www.cygnethealth.co.uk/locations/derby</t>
  </si>
  <si>
    <t xml:space="preserve">NMJ08</t>
  </si>
  <si>
    <t xml:space="preserve">Cygnet Hospital Ealing</t>
  </si>
  <si>
    <t xml:space="preserve">Ealing</t>
  </si>
  <si>
    <t xml:space="preserve">W5 2HT</t>
  </si>
  <si>
    <t xml:space="preserve">020 8991 6699</t>
  </si>
  <si>
    <t xml:space="preserve">https://www.cygnethealth.co.uk/locations/cygnet-hospital-ealing</t>
  </si>
  <si>
    <t xml:space="preserve">NMJ09</t>
  </si>
  <si>
    <t xml:space="preserve">Cygnet Hospital Harrogate</t>
  </si>
  <si>
    <t xml:space="preserve">HG1 2JL</t>
  </si>
  <si>
    <t xml:space="preserve">01423 500599</t>
  </si>
  <si>
    <t xml:space="preserve">robynsteel@cygnethealth.co.uk</t>
  </si>
  <si>
    <t xml:space="preserve">https://www.cygnethealth.co.uk/locations/cygnet-hospital-harrogate</t>
  </si>
  <si>
    <t xml:space="preserve">NMJ10</t>
  </si>
  <si>
    <t xml:space="preserve">Cygnet Hospital Harrow</t>
  </si>
  <si>
    <t xml:space="preserve">Harrow on the Hill</t>
  </si>
  <si>
    <t xml:space="preserve">HA1 3JL</t>
  </si>
  <si>
    <t xml:space="preserve">020 8966 7000</t>
  </si>
  <si>
    <t xml:space="preserve">alexanderlawrence@cygnethealth.co.uk</t>
  </si>
  <si>
    <t xml:space="preserve">http://www.cygnethealth.co.uk/locations/harrow</t>
  </si>
  <si>
    <t xml:space="preserve">NMJ11</t>
  </si>
  <si>
    <t xml:space="preserve">Cygnet Hospital Stevenage</t>
  </si>
  <si>
    <t xml:space="preserve">SG1 4YS</t>
  </si>
  <si>
    <t xml:space="preserve">01438 342942</t>
  </si>
  <si>
    <t xml:space="preserve">jemmalacey@cygnethealth.co.uk</t>
  </si>
  <si>
    <t xml:space="preserve">https://www.cygnethealth.co.uk/locations/stevenage</t>
  </si>
  <si>
    <t xml:space="preserve">NMJ12</t>
  </si>
  <si>
    <t xml:space="preserve">Cygnet Hospital Wyke</t>
  </si>
  <si>
    <t xml:space="preserve">BD12 8LR</t>
  </si>
  <si>
    <t xml:space="preserve">01274 605500</t>
  </si>
  <si>
    <t xml:space="preserve">https://www.cygnethealth.co.uk/locations/cygnet-hospital-wyke</t>
  </si>
  <si>
    <t xml:space="preserve">NV217</t>
  </si>
  <si>
    <t xml:space="preserve">Cedar House Hospital</t>
  </si>
  <si>
    <t xml:space="preserve">CT4 6PW</t>
  </si>
  <si>
    <t xml:space="preserve">01227 833700</t>
  </si>
  <si>
    <t xml:space="preserve">cedar.house@huntercombe.com</t>
  </si>
  <si>
    <t xml:space="preserve">RXM02</t>
  </si>
  <si>
    <t xml:space="preserve">Hartington Unit</t>
  </si>
  <si>
    <t xml:space="preserve">01246 512563</t>
  </si>
  <si>
    <t xml:space="preserve">http://www.derbyshirehealthcareft.nhs.uk</t>
  </si>
  <si>
    <t xml:space="preserve">NX006</t>
  </si>
  <si>
    <t xml:space="preserve">Chime Audiology - Sidmouth Hospital</t>
  </si>
  <si>
    <t xml:space="preserve">Chime Social Enterprise</t>
  </si>
  <si>
    <t xml:space="preserve">TAD16</t>
  </si>
  <si>
    <t xml:space="preserve">Airedale Centre for Mental Health</t>
  </si>
  <si>
    <t xml:space="preserve">01535678100</t>
  </si>
  <si>
    <t xml:space="preserve">RCBCA</t>
  </si>
  <si>
    <t xml:space="preserve">Scarborough Hospital</t>
  </si>
  <si>
    <t xml:space="preserve">01723 368111</t>
  </si>
  <si>
    <t xml:space="preserve">NW611</t>
  </si>
  <si>
    <t xml:space="preserve">Wellington Hospital</t>
  </si>
  <si>
    <t xml:space="preserve">NW8 9LE</t>
  </si>
  <si>
    <t xml:space="preserve">020 3603 3844</t>
  </si>
  <si>
    <t xml:space="preserve">RW505</t>
  </si>
  <si>
    <t xml:space="preserve">Broadoak Unit</t>
  </si>
  <si>
    <t xml:space="preserve">L14 3PJ</t>
  </si>
  <si>
    <t xml:space="preserve">https://www.merseycare.nhs.uk/our-services/our-sites/broadoak-unit</t>
  </si>
  <si>
    <t xml:space="preserve">RW506</t>
  </si>
  <si>
    <t xml:space="preserve">Windsor House</t>
  </si>
  <si>
    <t xml:space="preserve">L8 7LF</t>
  </si>
  <si>
    <t xml:space="preserve">https://www.merseycare.nhs.uk/our-services/our-sites/windsor-house</t>
  </si>
  <si>
    <t xml:space="preserve">RW507</t>
  </si>
  <si>
    <t xml:space="preserve">Mossley Hill Hospital</t>
  </si>
  <si>
    <t xml:space="preserve">L18 8BU</t>
  </si>
  <si>
    <t xml:space="preserve">https://www.merseycare.nhs.uk/our-services/our-sites/mossley-hill-hospital</t>
  </si>
  <si>
    <t xml:space="preserve">RW511</t>
  </si>
  <si>
    <t xml:space="preserve">Rathbone Hospital</t>
  </si>
  <si>
    <t xml:space="preserve">L13 4AW</t>
  </si>
  <si>
    <t xml:space="preserve">https://www.merseycare.nhs.uk/our-services/our-sites/rathbone-hospital</t>
  </si>
  <si>
    <t xml:space="preserve">RY922</t>
  </si>
  <si>
    <t xml:space="preserve">Teddington Memorial Hospital</t>
  </si>
  <si>
    <t xml:space="preserve">Hounslow and Richmond Community Healthcare NHS Trust</t>
  </si>
  <si>
    <t xml:space="preserve">Teddington</t>
  </si>
  <si>
    <t xml:space="preserve">TW11 0JL</t>
  </si>
  <si>
    <t xml:space="preserve">020 8714 4000</t>
  </si>
  <si>
    <t xml:space="preserve">http://www.hrch.nhs.uk/our-services/clinics-health-centres/teddington-memorial-hospital</t>
  </si>
  <si>
    <t xml:space="preserve">NNF94</t>
  </si>
  <si>
    <t xml:space="preserve">East Riding Community Hospital</t>
  </si>
  <si>
    <t xml:space="preserve">HU17 0FA</t>
  </si>
  <si>
    <t xml:space="preserve">01482 886600</t>
  </si>
  <si>
    <t xml:space="preserve">http://www.chcpcic.org.uk</t>
  </si>
  <si>
    <t xml:space="preserve">RGD02</t>
  </si>
  <si>
    <t xml:space="preserve">Aire Court</t>
  </si>
  <si>
    <t xml:space="preserve">LS10 4BS</t>
  </si>
  <si>
    <t xml:space="preserve">0113 8550600</t>
  </si>
  <si>
    <t xml:space="preserve">NTN42</t>
  </si>
  <si>
    <t xml:space="preserve">Priory Hospital Market Weighton</t>
  </si>
  <si>
    <t xml:space="preserve">YO43 3EQ</t>
  </si>
  <si>
    <t xml:space="preserve">01430 879 656</t>
  </si>
  <si>
    <t xml:space="preserve">marketweighton@priorygroup.com</t>
  </si>
  <si>
    <t xml:space="preserve">http://www.priorygroup.com/marketweighton</t>
  </si>
  <si>
    <t xml:space="preserve">NTN39</t>
  </si>
  <si>
    <t xml:space="preserve">Priory Hospital Dewsbury</t>
  </si>
  <si>
    <t xml:space="preserve">WF12 7LB</t>
  </si>
  <si>
    <t xml:space="preserve">01924 436 140</t>
  </si>
  <si>
    <t xml:space="preserve">dewsbury@priorygroup.com</t>
  </si>
  <si>
    <t xml:space="preserve">http://www.priorygroup.com/dewsbury</t>
  </si>
  <si>
    <t xml:space="preserve">RJZ30</t>
  </si>
  <si>
    <t xml:space="preserve">Princess Royal University Hospital</t>
  </si>
  <si>
    <t xml:space="preserve">BR6 8ND</t>
  </si>
  <si>
    <t xml:space="preserve">01689 863000</t>
  </si>
  <si>
    <t xml:space="preserve">http://pruh.kch.nhs.uk</t>
  </si>
  <si>
    <t xml:space="preserve">RJZ70</t>
  </si>
  <si>
    <t xml:space="preserve">Orpington Hospital</t>
  </si>
  <si>
    <t xml:space="preserve">BR6 9JU</t>
  </si>
  <si>
    <t xml:space="preserve">NV213</t>
  </si>
  <si>
    <t xml:space="preserve">Eldertree Lodge</t>
  </si>
  <si>
    <t xml:space="preserve">TF9 4LX</t>
  </si>
  <si>
    <t xml:space="preserve">01630 673800</t>
  </si>
  <si>
    <t xml:space="preserve">eldertree.lodge@huntercombe.com</t>
  </si>
  <si>
    <t xml:space="preserve">http://huntercombe.com</t>
  </si>
  <si>
    <t xml:space="preserve">RXT22</t>
  </si>
  <si>
    <t xml:space="preserve">Forward House</t>
  </si>
  <si>
    <t xml:space="preserve">0121 301 5922</t>
  </si>
  <si>
    <t xml:space="preserve">RW1AC</t>
  </si>
  <si>
    <t xml:space="preserve">Parklands Hospital</t>
  </si>
  <si>
    <t xml:space="preserve">RG24 9RH</t>
  </si>
  <si>
    <t xml:space="preserve">01256 817718</t>
  </si>
  <si>
    <t xml:space="preserve">RW178</t>
  </si>
  <si>
    <t xml:space="preserve">Fordingbridge Hospital</t>
  </si>
  <si>
    <t xml:space="preserve">Fordingbridge</t>
  </si>
  <si>
    <t xml:space="preserve">SP6 1JD</t>
  </si>
  <si>
    <t xml:space="preserve">01425 652255</t>
  </si>
  <si>
    <t xml:space="preserve">http://www.southernhealth.nhs.uk/services/community-health-services/hospitals/fordingbridge</t>
  </si>
  <si>
    <t xml:space="preserve">RV320</t>
  </si>
  <si>
    <t xml:space="preserve">St Charles Hospital, Mental Health Unit</t>
  </si>
  <si>
    <t xml:space="preserve">Kensington and Chelsea, London</t>
  </si>
  <si>
    <t xml:space="preserve">W10 6DZ</t>
  </si>
  <si>
    <t xml:space="preserve">020 8206 7000</t>
  </si>
  <si>
    <t xml:space="preserve">https://www.cnwl.nhs.uk</t>
  </si>
  <si>
    <t xml:space="preserve">RY402</t>
  </si>
  <si>
    <t xml:space="preserve">Potters Bar Community Hospital</t>
  </si>
  <si>
    <t xml:space="preserve">Potters Bar</t>
  </si>
  <si>
    <t xml:space="preserve">EN6 2RY</t>
  </si>
  <si>
    <t xml:space="preserve">01707 653286</t>
  </si>
  <si>
    <t xml:space="preserve">R1J06</t>
  </si>
  <si>
    <t xml:space="preserve">Cirencester Hospital</t>
  </si>
  <si>
    <t xml:space="preserve">Cirencester</t>
  </si>
  <si>
    <t xml:space="preserve">GL7 1UY</t>
  </si>
  <si>
    <t xml:space="preserve">0300 421 6200</t>
  </si>
  <si>
    <t xml:space="preserve">https://www.ghc.nhs.uk/locations/cirencester-hospital</t>
  </si>
  <si>
    <t xml:space="preserve">R1J07</t>
  </si>
  <si>
    <t xml:space="preserve">Vale Community Hospital</t>
  </si>
  <si>
    <t xml:space="preserve">Dursley</t>
  </si>
  <si>
    <t xml:space="preserve">GL11 4BA</t>
  </si>
  <si>
    <t xml:space="preserve">0300 421 8494</t>
  </si>
  <si>
    <t xml:space="preserve">http://www.glos-care.nhs.uk</t>
  </si>
  <si>
    <t xml:space="preserve">R1J08</t>
  </si>
  <si>
    <t xml:space="preserve">Tewkesbury Community Hospital</t>
  </si>
  <si>
    <t xml:space="preserve">GL20 5QN</t>
  </si>
  <si>
    <t xml:space="preserve">0300 421 6100</t>
  </si>
  <si>
    <t xml:space="preserve">R1J10</t>
  </si>
  <si>
    <t xml:space="preserve">Dilke Memorial Hospital</t>
  </si>
  <si>
    <t xml:space="preserve">Cinderford</t>
  </si>
  <si>
    <t xml:space="preserve">GL14 3HX</t>
  </si>
  <si>
    <t xml:space="preserve">0300 421 8640</t>
  </si>
  <si>
    <t xml:space="preserve">R1J11</t>
  </si>
  <si>
    <t xml:space="preserve">Lydney &amp; District Hospital</t>
  </si>
  <si>
    <t xml:space="preserve">Lydney</t>
  </si>
  <si>
    <t xml:space="preserve">GL15 5JE</t>
  </si>
  <si>
    <t xml:space="preserve">0300 421 8722</t>
  </si>
  <si>
    <t xml:space="preserve">R1J12</t>
  </si>
  <si>
    <t xml:space="preserve">Fairford Hospital</t>
  </si>
  <si>
    <t xml:space="preserve">Fairford</t>
  </si>
  <si>
    <t xml:space="preserve">GL7 4BB</t>
  </si>
  <si>
    <t xml:space="preserve">0300 421 6470</t>
  </si>
  <si>
    <t xml:space="preserve">R1J13</t>
  </si>
  <si>
    <t xml:space="preserve">Stroud General Hospital</t>
  </si>
  <si>
    <t xml:space="preserve">Stroud</t>
  </si>
  <si>
    <t xml:space="preserve">GL5 2HY</t>
  </si>
  <si>
    <t xml:space="preserve">0300 421 8080</t>
  </si>
  <si>
    <t xml:space="preserve">RE915</t>
  </si>
  <si>
    <t xml:space="preserve">Bensham Hospital</t>
  </si>
  <si>
    <t xml:space="preserve">NE8 4YL</t>
  </si>
  <si>
    <t xml:space="preserve">0191 445 5231</t>
  </si>
  <si>
    <t xml:space="preserve">RWX8X</t>
  </si>
  <si>
    <t xml:space="preserve">West Berkshire Community Hospital</t>
  </si>
  <si>
    <t xml:space="preserve">Thatcham</t>
  </si>
  <si>
    <t xml:space="preserve">RG18 3AS</t>
  </si>
  <si>
    <t xml:space="preserve">01635 273300</t>
  </si>
  <si>
    <t xml:space="preserve">https://www.berkshirehealthcare.nhs.uk/our-sites/west-berkshire/west-berkshire-community-hospital</t>
  </si>
  <si>
    <t xml:space="preserve">NYW04</t>
  </si>
  <si>
    <t xml:space="preserve">Claremont Private Hospital</t>
  </si>
  <si>
    <t xml:space="preserve">S10 5UB</t>
  </si>
  <si>
    <t xml:space="preserve">0114 263 0330</t>
  </si>
  <si>
    <t xml:space="preserve">info@claremont-hospital.co.uk</t>
  </si>
  <si>
    <t xml:space="preserve">http://www.claremont-hospital.co.uk</t>
  </si>
  <si>
    <t xml:space="preserve">NTT10</t>
  </si>
  <si>
    <t xml:space="preserve">The Manor Hospital</t>
  </si>
  <si>
    <t xml:space="preserve">NG20 8BA</t>
  </si>
  <si>
    <t xml:space="preserve">RDU25</t>
  </si>
  <si>
    <t xml:space="preserve">Heatherwood Hospital</t>
  </si>
  <si>
    <t xml:space="preserve">Ascot</t>
  </si>
  <si>
    <t xml:space="preserve">SL5 8AA</t>
  </si>
  <si>
    <t xml:space="preserve">NTPH1</t>
  </si>
  <si>
    <t xml:space="preserve">Shepton Mallet NHS Treatment Centre</t>
  </si>
  <si>
    <t xml:space="preserve">BA4 4LP</t>
  </si>
  <si>
    <t xml:space="preserve">01749 333600</t>
  </si>
  <si>
    <t xml:space="preserve">connie.stocker@careuk.com</t>
  </si>
  <si>
    <t xml:space="preserve">http://www.sheptonmallettreatmentcentre.nhs.uk</t>
  </si>
  <si>
    <t xml:space="preserve">NTPH2</t>
  </si>
  <si>
    <t xml:space="preserve">Emersons Green NHS Treatment Centre</t>
  </si>
  <si>
    <t xml:space="preserve">BS16 7FH</t>
  </si>
  <si>
    <t xml:space="preserve">0117 906 1801</t>
  </si>
  <si>
    <t xml:space="preserve">http://www.emersonsgreentreatmentcentre.nhs.uk</t>
  </si>
  <si>
    <t xml:space="preserve">NTPH5</t>
  </si>
  <si>
    <t xml:space="preserve">Peninsula NHS Treatment Centre</t>
  </si>
  <si>
    <t xml:space="preserve">PL6 5XP</t>
  </si>
  <si>
    <t xml:space="preserve">01752 506070</t>
  </si>
  <si>
    <t xml:space="preserve">patricia.warwick@careuk.com</t>
  </si>
  <si>
    <t xml:space="preserve">http://www.peninsulatreatmentcentre.nhs.uk</t>
  </si>
  <si>
    <t xml:space="preserve">RH5K6</t>
  </si>
  <si>
    <t xml:space="preserve">Bridgwater Community Hospital</t>
  </si>
  <si>
    <t xml:space="preserve">Bridgwater</t>
  </si>
  <si>
    <t xml:space="preserve">TA6 4GU</t>
  </si>
  <si>
    <t xml:space="preserve">01278 436 555</t>
  </si>
  <si>
    <t xml:space="preserve">http://www.sompar.nhs.uk/our_services/adult_services/hospitals/bridgwater_hospital</t>
  </si>
  <si>
    <t xml:space="preserve">NCNDC</t>
  </si>
  <si>
    <t xml:space="preserve">Dmc Community Dermatology Service - Swale CCG (Sheppey Community Hospital)</t>
  </si>
  <si>
    <t xml:space="preserve">Dmc Community Outpatient Services</t>
  </si>
  <si>
    <t xml:space="preserve">02076351012</t>
  </si>
  <si>
    <t xml:space="preserve">ADP02</t>
  </si>
  <si>
    <t xml:space="preserve">KIMS Hospital</t>
  </si>
  <si>
    <t xml:space="preserve">ME14 5FT</t>
  </si>
  <si>
    <t xml:space="preserve">01622 237 500</t>
  </si>
  <si>
    <t xml:space="preserve">enquiries@kims.org.uk</t>
  </si>
  <si>
    <t xml:space="preserve">http://www.kims.org.uk</t>
  </si>
  <si>
    <t xml:space="preserve">RXTD6</t>
  </si>
  <si>
    <t xml:space="preserve">Tamarind Centre</t>
  </si>
  <si>
    <t xml:space="preserve">B9 5PU</t>
  </si>
  <si>
    <t xml:space="preserve">0121 301 0500</t>
  </si>
  <si>
    <t xml:space="preserve">NLX22</t>
  </si>
  <si>
    <t xml:space="preserve">Thornbury Hospital (Henderson Ward)</t>
  </si>
  <si>
    <t xml:space="preserve">Sirona Care &amp; Health</t>
  </si>
  <si>
    <t xml:space="preserve">BS35 1DN</t>
  </si>
  <si>
    <t xml:space="preserve">RX277</t>
  </si>
  <si>
    <t xml:space="preserve">Meadowfield</t>
  </si>
  <si>
    <t xml:space="preserve">BN13 3EF</t>
  </si>
  <si>
    <t xml:space="preserve">01903 843200</t>
  </si>
  <si>
    <t xml:space="preserve">http://www.sussexpartnership.nhs.uk/location-meadowfield-hospital</t>
  </si>
  <si>
    <t xml:space="preserve">RX2X4</t>
  </si>
  <si>
    <t xml:space="preserve">Chalkhill</t>
  </si>
  <si>
    <t xml:space="preserve">RH16 4NQ</t>
  </si>
  <si>
    <t xml:space="preserve">01444 472670</t>
  </si>
  <si>
    <t xml:space="preserve">http://www.sussexpartnership.nhs.uk/location-chalkhill</t>
  </si>
  <si>
    <t xml:space="preserve">NL002</t>
  </si>
  <si>
    <t xml:space="preserve">Edith Shaw Hospital</t>
  </si>
  <si>
    <t xml:space="preserve">ST13 5PE</t>
  </si>
  <si>
    <t xml:space="preserve">RH8A4</t>
  </si>
  <si>
    <t xml:space="preserve">Seaton Hospital</t>
  </si>
  <si>
    <t xml:space="preserve">Seaton</t>
  </si>
  <si>
    <t xml:space="preserve">EX12 2UU</t>
  </si>
  <si>
    <t xml:space="preserve">RNUGP</t>
  </si>
  <si>
    <t xml:space="preserve">Whiteleaf Centre</t>
  </si>
  <si>
    <t xml:space="preserve">Aylesbury</t>
  </si>
  <si>
    <t xml:space="preserve">HP20 1EG</t>
  </si>
  <si>
    <t xml:space="preserve">01865 902000</t>
  </si>
  <si>
    <t xml:space="preserve">http://www.oxfordhealth.nhs.uk/whiteleaf</t>
  </si>
  <si>
    <t xml:space="preserve">RRPG7</t>
  </si>
  <si>
    <t xml:space="preserve">St Andrews Court</t>
  </si>
  <si>
    <t xml:space="preserve">Barnet, Enfield and Haringey Mental Health NHS Trust</t>
  </si>
  <si>
    <t xml:space="preserve">EN1 3SY</t>
  </si>
  <si>
    <t xml:space="preserve">RN7ED</t>
  </si>
  <si>
    <t xml:space="preserve">Erith and District Hospital</t>
  </si>
  <si>
    <t xml:space="preserve">Erith</t>
  </si>
  <si>
    <t xml:space="preserve">DA8 3EE</t>
  </si>
  <si>
    <t xml:space="preserve">0203 668 9490</t>
  </si>
  <si>
    <t xml:space="preserve">RWELH</t>
  </si>
  <si>
    <t xml:space="preserve">Hinckley &amp; District Hosp</t>
  </si>
  <si>
    <t xml:space="preserve">Hinckley</t>
  </si>
  <si>
    <t xml:space="preserve">LE10 1AG</t>
  </si>
  <si>
    <t xml:space="preserve">RWELR</t>
  </si>
  <si>
    <t xml:space="preserve">Rutland Memorial Hospital - University Hospitals Of Leicester NHS Trust</t>
  </si>
  <si>
    <t xml:space="preserve">Oakham</t>
  </si>
  <si>
    <t xml:space="preserve">Rutland</t>
  </si>
  <si>
    <t xml:space="preserve">LE15 6NT</t>
  </si>
  <si>
    <t xml:space="preserve">01572 722 552</t>
  </si>
  <si>
    <t xml:space="preserve">RWELS</t>
  </si>
  <si>
    <t xml:space="preserve">Market Harborough</t>
  </si>
  <si>
    <t xml:space="preserve">LE16 7BN</t>
  </si>
  <si>
    <t xml:space="preserve">01858 410300</t>
  </si>
  <si>
    <t xml:space="preserve">RW15R</t>
  </si>
  <si>
    <t xml:space="preserve">Victoria Cottage Hospital</t>
  </si>
  <si>
    <t xml:space="preserve">01243 376041</t>
  </si>
  <si>
    <t xml:space="preserve">RALC7</t>
  </si>
  <si>
    <t xml:space="preserve">Chase Farm Hospital</t>
  </si>
  <si>
    <t xml:space="preserve">EN2 8JL</t>
  </si>
  <si>
    <t xml:space="preserve">020 8375 2999</t>
  </si>
  <si>
    <t xml:space="preserve">bcfpals@nhs.net</t>
  </si>
  <si>
    <t xml:space="preserve">RALCC</t>
  </si>
  <si>
    <t xml:space="preserve">Cheshunt Community Hospital</t>
  </si>
  <si>
    <t xml:space="preserve">Waltham Cross</t>
  </si>
  <si>
    <t xml:space="preserve">EN8 8XN</t>
  </si>
  <si>
    <t xml:space="preserve">RV9FH</t>
  </si>
  <si>
    <t xml:space="preserve">Humber Centre for Forensic Psychiatry</t>
  </si>
  <si>
    <t xml:space="preserve">HU10 6ED</t>
  </si>
  <si>
    <t xml:space="preserve">01482 336200</t>
  </si>
  <si>
    <t xml:space="preserve">RTF86</t>
  </si>
  <si>
    <t xml:space="preserve">Northumbria Specialist Emergency Care Hospital</t>
  </si>
  <si>
    <t xml:space="preserve">Cramlington</t>
  </si>
  <si>
    <t xml:space="preserve">NE23 6NZ</t>
  </si>
  <si>
    <t xml:space="preserve">https://www.northumbria.nhs.uk/emergency</t>
  </si>
  <si>
    <t xml:space="preserve">TAJ52</t>
  </si>
  <si>
    <t xml:space="preserve">Penn Hospital</t>
  </si>
  <si>
    <t xml:space="preserve">WV4 5HN</t>
  </si>
  <si>
    <t xml:space="preserve">01902 444141</t>
  </si>
  <si>
    <t xml:space="preserve">REFX7</t>
  </si>
  <si>
    <t xml:space="preserve">Fowey Hospital</t>
  </si>
  <si>
    <t xml:space="preserve">Fowey</t>
  </si>
  <si>
    <t xml:space="preserve">PL23 1EE</t>
  </si>
  <si>
    <t xml:space="preserve">TAHEC</t>
  </si>
  <si>
    <t xml:space="preserve">Intensive Support Service</t>
  </si>
  <si>
    <t xml:space="preserve">S4 7BU</t>
  </si>
  <si>
    <t xml:space="preserve">0114 2261937</t>
  </si>
  <si>
    <t xml:space="preserve">TAHFC</t>
  </si>
  <si>
    <t xml:space="preserve">Michael Carlisle Centre</t>
  </si>
  <si>
    <t xml:space="preserve">S11 9BF</t>
  </si>
  <si>
    <t xml:space="preserve">RL4TC</t>
  </si>
  <si>
    <t xml:space="preserve">Cannock Chase Hospital</t>
  </si>
  <si>
    <t xml:space="preserve">Cannock</t>
  </si>
  <si>
    <t xml:space="preserve">WS11 5XY</t>
  </si>
  <si>
    <t xml:space="preserve">01543 572757</t>
  </si>
  <si>
    <t xml:space="preserve">RWK06</t>
  </si>
  <si>
    <t xml:space="preserve">The Lodge</t>
  </si>
  <si>
    <t xml:space="preserve">E9 6AT</t>
  </si>
  <si>
    <t xml:space="preserve">020 8510 2340</t>
  </si>
  <si>
    <t xml:space="preserve">RT265</t>
  </si>
  <si>
    <t xml:space="preserve">Child &amp; Family Service</t>
  </si>
  <si>
    <t xml:space="preserve">0161 918 8515</t>
  </si>
  <si>
    <t xml:space="preserve">https://www.penninecare.nhs.uk/your-services/child-and-adolescent-mental-health-services-camhs</t>
  </si>
  <si>
    <t xml:space="preserve">AHH01</t>
  </si>
  <si>
    <t xml:space="preserve">Foscote Court (Banbury) Trust</t>
  </si>
  <si>
    <t xml:space="preserve">Foscote Court (Banbury) Trust Ltd</t>
  </si>
  <si>
    <t xml:space="preserve">OX16 9XP</t>
  </si>
  <si>
    <t xml:space="preserve">01295 252281</t>
  </si>
  <si>
    <t xml:space="preserve">reception@thefoscotehospital.co.uk</t>
  </si>
  <si>
    <t xml:space="preserve">http://www.thefoscotehospital.co.uk</t>
  </si>
  <si>
    <t xml:space="preserve">AHN02</t>
  </si>
  <si>
    <t xml:space="preserve">Jigsaw Independent Hospital</t>
  </si>
  <si>
    <t xml:space="preserve">Equilibrium Healthcare</t>
  </si>
  <si>
    <t xml:space="preserve">M20 3ZA</t>
  </si>
  <si>
    <t xml:space="preserve">RDYYQ</t>
  </si>
  <si>
    <t xml:space="preserve">Greenfields Day Hospital</t>
  </si>
  <si>
    <t xml:space="preserve">AHQ02</t>
  </si>
  <si>
    <t xml:space="preserve">Olive Eden Hospital</t>
  </si>
  <si>
    <t xml:space="preserve">Curocare Ltd Head Office</t>
  </si>
  <si>
    <t xml:space="preserve">N17 0ND</t>
  </si>
  <si>
    <t xml:space="preserve">AHQ03</t>
  </si>
  <si>
    <t xml:space="preserve">Bloomfield Court Hospital</t>
  </si>
  <si>
    <t xml:space="preserve">SE18 7JN</t>
  </si>
  <si>
    <t xml:space="preserve">NCR06</t>
  </si>
  <si>
    <t xml:space="preserve">iSIGHT (Southport)</t>
  </si>
  <si>
    <t xml:space="preserve">Isight</t>
  </si>
  <si>
    <t xml:space="preserve">PR8 2AT</t>
  </si>
  <si>
    <t xml:space="preserve">01704 563279</t>
  </si>
  <si>
    <t xml:space="preserve">enquiries@isightclinics.com</t>
  </si>
  <si>
    <t xml:space="preserve">http://www.isightclinics.com</t>
  </si>
  <si>
    <t xml:space="preserve">R1K01</t>
  </si>
  <si>
    <t xml:space="preserve">Northwick Park Hospital</t>
  </si>
  <si>
    <t xml:space="preserve">London North West University Healthcare NHS Trust</t>
  </si>
  <si>
    <t xml:space="preserve">HA1 3UJ</t>
  </si>
  <si>
    <t xml:space="preserve">020 8864 3232</t>
  </si>
  <si>
    <t xml:space="preserve">lnwh-tr.trust@nhs.net</t>
  </si>
  <si>
    <t xml:space="preserve">http://www.lnwh.nhs.uk</t>
  </si>
  <si>
    <t xml:space="preserve">R1K02</t>
  </si>
  <si>
    <t xml:space="preserve">Central Middlesex Hospital</t>
  </si>
  <si>
    <t xml:space="preserve">NW10 7NS</t>
  </si>
  <si>
    <t xml:space="preserve">020 8965 5733</t>
  </si>
  <si>
    <t xml:space="preserve">R1K03</t>
  </si>
  <si>
    <t xml:space="preserve">http://www.stmarkshospital.nhs.uk</t>
  </si>
  <si>
    <t xml:space="preserve">R1K04</t>
  </si>
  <si>
    <t xml:space="preserve">Ealing Hospital</t>
  </si>
  <si>
    <t xml:space="preserve">Southall</t>
  </si>
  <si>
    <t xml:space="preserve">UB1 3HW</t>
  </si>
  <si>
    <t xml:space="preserve">020 8967 5000</t>
  </si>
  <si>
    <t xml:space="preserve">https://www.lnwh.nhs.uk</t>
  </si>
  <si>
    <t xml:space="preserve">RNS01</t>
  </si>
  <si>
    <t xml:space="preserve">Northampton General Hospital (Acute)</t>
  </si>
  <si>
    <t xml:space="preserve">Northampton General Hospital NHS Trust</t>
  </si>
  <si>
    <t xml:space="preserve">NN1 5BD</t>
  </si>
  <si>
    <t xml:space="preserve">01604 634700</t>
  </si>
  <si>
    <t xml:space="preserve">RYK53</t>
  </si>
  <si>
    <t xml:space="preserve">Caludon Centre</t>
  </si>
  <si>
    <t xml:space="preserve">CV2 2TE</t>
  </si>
  <si>
    <t xml:space="preserve">024 7693 2500</t>
  </si>
  <si>
    <t xml:space="preserve">https://www.covwarkpt.nhs.uk/caludon-centre</t>
  </si>
  <si>
    <t xml:space="preserve">NPE01</t>
  </si>
  <si>
    <t xml:space="preserve">The Retreat Hospital York</t>
  </si>
  <si>
    <t xml:space="preserve">The Retreat Hospital</t>
  </si>
  <si>
    <t xml:space="preserve">YO10 5BN</t>
  </si>
  <si>
    <t xml:space="preserve">RDU50</t>
  </si>
  <si>
    <t xml:space="preserve">Wexham Park Hospital</t>
  </si>
  <si>
    <t xml:space="preserve">SL2 4HL</t>
  </si>
  <si>
    <t xml:space="preserve">REN20</t>
  </si>
  <si>
    <t xml:space="preserve">The Clatterbridge Cancer Centre (Wirral)</t>
  </si>
  <si>
    <t xml:space="preserve">The Clatterbridge Cancer Centre NHS Foundation Trust</t>
  </si>
  <si>
    <t xml:space="preserve">0151 334 1155</t>
  </si>
  <si>
    <t xml:space="preserve">http://www.clatterbridgecc.nhs.uk</t>
  </si>
  <si>
    <t xml:space="preserve">RD115</t>
  </si>
  <si>
    <t xml:space="preserve">Royal National Mineral Hospital For Rheumatic Diseases NHS Foundation Trust</t>
  </si>
  <si>
    <t xml:space="preserve">BA1 1RL</t>
  </si>
  <si>
    <t xml:space="preserve">NT3X3</t>
  </si>
  <si>
    <t xml:space="preserve">Spire St Anthony's Hospital</t>
  </si>
  <si>
    <t xml:space="preserve">SM3 9DW</t>
  </si>
  <si>
    <t xml:space="preserve">020 8337 6691</t>
  </si>
  <si>
    <t xml:space="preserve">info@spirestanthonys.com</t>
  </si>
  <si>
    <t xml:space="preserve">https://www.spirehealthcare.com/spire-st-anthonys-hospital</t>
  </si>
  <si>
    <t xml:space="preserve">RT133</t>
  </si>
  <si>
    <t xml:space="preserve">Doddington Hospital - Cambridgeshire and Peterborough NHS Foundation Trust</t>
  </si>
  <si>
    <t xml:space="preserve">Doddington</t>
  </si>
  <si>
    <t xml:space="preserve">PE15 0UG</t>
  </si>
  <si>
    <t xml:space="preserve">0300 5556655</t>
  </si>
  <si>
    <t xml:space="preserve">https://www.cambscommunityservices.nhs.uk/contact</t>
  </si>
  <si>
    <t xml:space="preserve">RT182</t>
  </si>
  <si>
    <t xml:space="preserve">North Cambridgeshire Hospital - Cambridgeshire and Peterborough NHS Foundation Trust</t>
  </si>
  <si>
    <t xml:space="preserve">Wisbech</t>
  </si>
  <si>
    <t xml:space="preserve">PE13 3AB</t>
  </si>
  <si>
    <t xml:space="preserve">01945 488088</t>
  </si>
  <si>
    <t xml:space="preserve">RT1FC</t>
  </si>
  <si>
    <t xml:space="preserve">Princess of Wales Hospital - Cambridgeshire and Peterborough NHS Foundation Trust</t>
  </si>
  <si>
    <t xml:space="preserve">Ely</t>
  </si>
  <si>
    <t xml:space="preserve">CB6 1DN</t>
  </si>
  <si>
    <t xml:space="preserve">01353 652000</t>
  </si>
  <si>
    <t xml:space="preserve">RQWG1</t>
  </si>
  <si>
    <t xml:space="preserve">St Margaret's Hospital</t>
  </si>
  <si>
    <t xml:space="preserve">CM16 6TN</t>
  </si>
  <si>
    <t xml:space="preserve">01992 561666</t>
  </si>
  <si>
    <t xml:space="preserve">NIB09</t>
  </si>
  <si>
    <t xml:space="preserve">Stafford General Infirmary</t>
  </si>
  <si>
    <t xml:space="preserve">Brewood Medical Services Ltd</t>
  </si>
  <si>
    <t xml:space="preserve">ST16 2PA</t>
  </si>
  <si>
    <t xml:space="preserve">RX33A</t>
  </si>
  <si>
    <t xml:space="preserve">Roseberry Park Hospital</t>
  </si>
  <si>
    <t xml:space="preserve">TS4 3AF</t>
  </si>
  <si>
    <t xml:space="preserve">RXECH</t>
  </si>
  <si>
    <t xml:space="preserve">North Lincs Adult Mental Health Service - Access Team including Crisis Resolution Service</t>
  </si>
  <si>
    <t xml:space="preserve">DN16 2JX</t>
  </si>
  <si>
    <t xml:space="preserve">0800 015 0211</t>
  </si>
  <si>
    <t xml:space="preserve">http://www.rdash.nhs.uk/services/our-services/adult-mental-health-services/adult-community-mental-he</t>
  </si>
  <si>
    <t xml:space="preserve">RXE87</t>
  </si>
  <si>
    <t xml:space="preserve">Doncaster Adult Mental Health Service - Access Team including Crisis Resolution Service</t>
  </si>
  <si>
    <t xml:space="preserve">Balby, Doncaster</t>
  </si>
  <si>
    <t xml:space="preserve">0800 804 8999</t>
  </si>
  <si>
    <t xml:space="preserve">RTQ02</t>
  </si>
  <si>
    <t xml:space="preserve">Wotton Lawn Hospital</t>
  </si>
  <si>
    <t xml:space="preserve">GL1 3WL</t>
  </si>
  <si>
    <t xml:space="preserve">01452 894500</t>
  </si>
  <si>
    <t xml:space="preserve">https://www.ghc.nhs.uk</t>
  </si>
  <si>
    <t xml:space="preserve">RTQ54</t>
  </si>
  <si>
    <t xml:space="preserve">Berkeley House</t>
  </si>
  <si>
    <t xml:space="preserve">GL5 4SA</t>
  </si>
  <si>
    <t xml:space="preserve">RTQ01</t>
  </si>
  <si>
    <t xml:space="preserve">Charlton Lane Hospital</t>
  </si>
  <si>
    <t xml:space="preserve">GL53 9DZ</t>
  </si>
  <si>
    <t xml:space="preserve">RTQ13</t>
  </si>
  <si>
    <t xml:space="preserve">Honeybourne</t>
  </si>
  <si>
    <t xml:space="preserve">GL51 9EZ</t>
  </si>
  <si>
    <t xml:space="preserve">RTQHM</t>
  </si>
  <si>
    <t xml:space="preserve">Oak House</t>
  </si>
  <si>
    <t xml:space="preserve">HR4 0AY</t>
  </si>
  <si>
    <t xml:space="preserve">RJC46</t>
  </si>
  <si>
    <t xml:space="preserve">Leamington Spa Hospital</t>
  </si>
  <si>
    <t xml:space="preserve">CV34 6SR</t>
  </si>
  <si>
    <t xml:space="preserve">01926 317 700</t>
  </si>
  <si>
    <t xml:space="preserve">ANH02</t>
  </si>
  <si>
    <t xml:space="preserve">Dudley Urgent Care Centre</t>
  </si>
  <si>
    <t xml:space="preserve">Malling Health UK Limited</t>
  </si>
  <si>
    <t xml:space="preserve">RMYNP</t>
  </si>
  <si>
    <t xml:space="preserve">Airey Close, Lowestoft</t>
  </si>
  <si>
    <t xml:space="preserve">Oulton</t>
  </si>
  <si>
    <t xml:space="preserve">NR32 3JQ</t>
  </si>
  <si>
    <t xml:space="preserve">01502 535000</t>
  </si>
  <si>
    <t xml:space="preserve">RMYMW</t>
  </si>
  <si>
    <t xml:space="preserve">Walker Close, Ipswich</t>
  </si>
  <si>
    <t xml:space="preserve">IP3 8LY</t>
  </si>
  <si>
    <t xml:space="preserve">01603421421</t>
  </si>
  <si>
    <t xml:space="preserve">RMY55</t>
  </si>
  <si>
    <t xml:space="preserve">1b St Catherines Way, Gorleston</t>
  </si>
  <si>
    <t xml:space="preserve">Gorleston on Sea</t>
  </si>
  <si>
    <t xml:space="preserve">NR31 7QB</t>
  </si>
  <si>
    <t xml:space="preserve">01493 444465</t>
  </si>
  <si>
    <t xml:space="preserve">RPGHP</t>
  </si>
  <si>
    <t xml:space="preserve">Eltham Community Hospital</t>
  </si>
  <si>
    <t xml:space="preserve">SE9 5DQ</t>
  </si>
  <si>
    <t xml:space="preserve">020 3049 0400</t>
  </si>
  <si>
    <t xml:space="preserve">RH8A6</t>
  </si>
  <si>
    <t xml:space="preserve">Budleigh Salterton Hospital</t>
  </si>
  <si>
    <t xml:space="preserve">Budleigh Salterton</t>
  </si>
  <si>
    <t xml:space="preserve">EX9 6HF</t>
  </si>
  <si>
    <t xml:space="preserve">NMJ20</t>
  </si>
  <si>
    <t xml:space="preserve">Cygnet Hospital Taunton</t>
  </si>
  <si>
    <t xml:space="preserve">TA3 7BQ</t>
  </si>
  <si>
    <t xml:space="preserve">01823 336457</t>
  </si>
  <si>
    <t xml:space="preserve">https://www.cygnethealth.co.uk/locations/cygnet-hospital-taunton</t>
  </si>
  <si>
    <t xml:space="preserve">R1K68</t>
  </si>
  <si>
    <t xml:space="preserve">Clayponds Rehabilitation Hospital</t>
  </si>
  <si>
    <t xml:space="preserve">W5 4RN</t>
  </si>
  <si>
    <t xml:space="preserve">020 8560 4011</t>
  </si>
  <si>
    <t xml:space="preserve">https://www.lnwh.nhs.uk/clayponds</t>
  </si>
  <si>
    <t xml:space="preserve">NNJ06</t>
  </si>
  <si>
    <t xml:space="preserve">St Oswalds Hospital - DHU Health Care</t>
  </si>
  <si>
    <t xml:space="preserve">DHU Health Care CIC</t>
  </si>
  <si>
    <t xml:space="preserve">Ashbourne</t>
  </si>
  <si>
    <t xml:space="preserve">DE6 1DR</t>
  </si>
  <si>
    <t xml:space="preserve">RWVGA</t>
  </si>
  <si>
    <t xml:space="preserve">Langdon Hospital</t>
  </si>
  <si>
    <t xml:space="preserve">EX7 0NR</t>
  </si>
  <si>
    <t xml:space="preserve">01626 888372</t>
  </si>
  <si>
    <t xml:space="preserve">RNQ18</t>
  </si>
  <si>
    <t xml:space="preserve">Market Harborough District Hospital</t>
  </si>
  <si>
    <t xml:space="preserve">LE16 9DD</t>
  </si>
  <si>
    <t xml:space="preserve">NV647</t>
  </si>
  <si>
    <t xml:space="preserve">Pds Medical - Pall Mall Hospital</t>
  </si>
  <si>
    <t xml:space="preserve">L3 9SJ</t>
  </si>
  <si>
    <t xml:space="preserve">NV656</t>
  </si>
  <si>
    <t xml:space="preserve">WA12 0JJ</t>
  </si>
  <si>
    <t xml:space="preserve">RTD13</t>
  </si>
  <si>
    <t xml:space="preserve">Newcastle Hospitals @ Cramlington</t>
  </si>
  <si>
    <t xml:space="preserve">NE23 6UT</t>
  </si>
  <si>
    <t xml:space="preserve">AQT01</t>
  </si>
  <si>
    <t xml:space="preserve">Mount Edgcumbe Hospice</t>
  </si>
  <si>
    <t xml:space="preserve">Cornwall Hospice Care Limited</t>
  </si>
  <si>
    <t xml:space="preserve">PL26 6AB</t>
  </si>
  <si>
    <t xml:space="preserve">AQT02</t>
  </si>
  <si>
    <t xml:space="preserve">St Julia's Hospice</t>
  </si>
  <si>
    <t xml:space="preserve">TR27 4HW</t>
  </si>
  <si>
    <t xml:space="preserve">NMV51</t>
  </si>
  <si>
    <t xml:space="preserve">Park Lodge</t>
  </si>
  <si>
    <t xml:space="preserve">SK6 4NH</t>
  </si>
  <si>
    <t xml:space="preserve">NMV52</t>
  </si>
  <si>
    <t xml:space="preserve">Park Villa</t>
  </si>
  <si>
    <t xml:space="preserve">SK11 8AE</t>
  </si>
  <si>
    <t xml:space="preserve">01625 501 314</t>
  </si>
  <si>
    <t xml:space="preserve">http://www.priorygroup.com/park-villa</t>
  </si>
  <si>
    <t xml:space="preserve">NMV54</t>
  </si>
  <si>
    <t xml:space="preserve">Rhodes Farm</t>
  </si>
  <si>
    <t xml:space="preserve">NW7 1RH</t>
  </si>
  <si>
    <t xml:space="preserve">RQM91</t>
  </si>
  <si>
    <t xml:space="preserve">West Middlesex University Hospital</t>
  </si>
  <si>
    <t xml:space="preserve">Isleworth</t>
  </si>
  <si>
    <t xml:space="preserve">TW7 6AF</t>
  </si>
  <si>
    <t xml:space="preserve">020 8560 2121</t>
  </si>
  <si>
    <t xml:space="preserve">RW5KM</t>
  </si>
  <si>
    <t xml:space="preserve">The Harbour</t>
  </si>
  <si>
    <t xml:space="preserve">FY4 4FE</t>
  </si>
  <si>
    <t xml:space="preserve">01253 447700</t>
  </si>
  <si>
    <t xml:space="preserve">NMV58</t>
  </si>
  <si>
    <t xml:space="preserve">Beverley House</t>
  </si>
  <si>
    <t xml:space="preserve">B17 8LL</t>
  </si>
  <si>
    <t xml:space="preserve">01214 203 701</t>
  </si>
  <si>
    <t xml:space="preserve">http://www.priorygroup.com/beverley-house</t>
  </si>
  <si>
    <t xml:space="preserve">RAL80</t>
  </si>
  <si>
    <t xml:space="preserve">Hadley Wood Hospital</t>
  </si>
  <si>
    <t xml:space="preserve">EN5 5TS</t>
  </si>
  <si>
    <t xml:space="preserve">0203 7582050</t>
  </si>
  <si>
    <t xml:space="preserve">RDRCR</t>
  </si>
  <si>
    <t xml:space="preserve">Crowborough War Memorial Hospital - Sussex Community NHS Foundation Trust</t>
  </si>
  <si>
    <t xml:space="preserve">TN6 1HB</t>
  </si>
  <si>
    <t xml:space="preserve">01892 652284</t>
  </si>
  <si>
    <t xml:space="preserve">NVM01</t>
  </si>
  <si>
    <t xml:space="preserve">Cobham Day Surgery Hospital</t>
  </si>
  <si>
    <t xml:space="preserve">Cobham</t>
  </si>
  <si>
    <t xml:space="preserve">KT11 1HS</t>
  </si>
  <si>
    <t xml:space="preserve">enquiries@epsomedical.co.uk</t>
  </si>
  <si>
    <t xml:space="preserve">RXAF4</t>
  </si>
  <si>
    <t xml:space="preserve">Springview</t>
  </si>
  <si>
    <t xml:space="preserve">Mental Health Hospital</t>
  </si>
  <si>
    <t xml:space="preserve">0151 4827636</t>
  </si>
  <si>
    <t xml:space="preserve">http://www.cwp.nhs.uk/locations/1112-springview-hospital-clatterbridge-health-park-wirral</t>
  </si>
  <si>
    <t xml:space="preserve">RQX20</t>
  </si>
  <si>
    <t xml:space="preserve">St Leonard's</t>
  </si>
  <si>
    <t xml:space="preserve">N1 5LZ</t>
  </si>
  <si>
    <t xml:space="preserve">0207 683 4527</t>
  </si>
  <si>
    <t xml:space="preserve">http://www.homerton.nhs.uk/our-services/services-a-z/s/st-leonards-hospital</t>
  </si>
  <si>
    <t xml:space="preserve">RTP04</t>
  </si>
  <si>
    <t xml:space="preserve">East Surrey Hospital</t>
  </si>
  <si>
    <t xml:space="preserve">Surrey and Sussex Healthcare NHS Trust</t>
  </si>
  <si>
    <t xml:space="preserve">Redhill</t>
  </si>
  <si>
    <t xml:space="preserve">RH1 5RH</t>
  </si>
  <si>
    <t xml:space="preserve">01737 768 511</t>
  </si>
  <si>
    <t xml:space="preserve">AVQ01</t>
  </si>
  <si>
    <t xml:space="preserve">One Ashford Hospital</t>
  </si>
  <si>
    <t xml:space="preserve">One Healthcare</t>
  </si>
  <si>
    <t xml:space="preserve">TN24 0YS</t>
  </si>
  <si>
    <t xml:space="preserve">01233 423000</t>
  </si>
  <si>
    <t xml:space="preserve">ashford.info@onehealthcare.co.uk</t>
  </si>
  <si>
    <t xml:space="preserve">https://www.onehealthcare.co.uk/ashford</t>
  </si>
  <si>
    <t xml:space="preserve">RV91W</t>
  </si>
  <si>
    <t xml:space="preserve">Whitby Hospital</t>
  </si>
  <si>
    <t xml:space="preserve">Whitby</t>
  </si>
  <si>
    <t xml:space="preserve">YO21 1DP</t>
  </si>
  <si>
    <t xml:space="preserve">01947 899200</t>
  </si>
  <si>
    <t xml:space="preserve">NMJ22</t>
  </si>
  <si>
    <t xml:space="preserve">Cygnet Hospital Bury</t>
  </si>
  <si>
    <t xml:space="preserve">BL8 2BS</t>
  </si>
  <si>
    <t xml:space="preserve">0161 762 7200</t>
  </si>
  <si>
    <t xml:space="preserve">https://www.cygnethealth.co.uk/locations/cygnet-hospital-bury</t>
  </si>
  <si>
    <t xml:space="preserve">NMJ23</t>
  </si>
  <si>
    <t xml:space="preserve">Cygnet Hospital Sheffield</t>
  </si>
  <si>
    <t xml:space="preserve">S2 3PX</t>
  </si>
  <si>
    <t xml:space="preserve">0114 279 3350</t>
  </si>
  <si>
    <t xml:space="preserve">https://www.cygnethealth.co.uk/locations/cygnet-hospital-sheffield</t>
  </si>
  <si>
    <t xml:space="preserve">NMJ24</t>
  </si>
  <si>
    <t xml:space="preserve">Cygnet Hospital Woking</t>
  </si>
  <si>
    <t xml:space="preserve">GU21 2QS</t>
  </si>
  <si>
    <t xml:space="preserve">01483 795 100</t>
  </si>
  <si>
    <t xml:space="preserve">https://www.cygnethealth.co.uk/locations/cygnet-hospital-woking</t>
  </si>
  <si>
    <t xml:space="preserve">RX34F</t>
  </si>
  <si>
    <t xml:space="preserve">Bootham Park Hospital</t>
  </si>
  <si>
    <t xml:space="preserve">YO30 7BY</t>
  </si>
  <si>
    <t xml:space="preserve">01904 556 840</t>
  </si>
  <si>
    <t xml:space="preserve">tewv.iaptyorkselby@nhs.net</t>
  </si>
  <si>
    <t xml:space="preserve">http://www.yor-ok.org.uk/service-detail.htm?serviceid=6169</t>
  </si>
  <si>
    <t xml:space="preserve">RJ8A3</t>
  </si>
  <si>
    <t xml:space="preserve">Liskeard Community Hospital - Cornwall Partnership NHS Foundation Trust</t>
  </si>
  <si>
    <t xml:space="preserve">Liskeard</t>
  </si>
  <si>
    <t xml:space="preserve">PL14 3XD</t>
  </si>
  <si>
    <t xml:space="preserve">01579 373500</t>
  </si>
  <si>
    <t xml:space="preserve">http://www.cornwallft.nhs.uk/hospitals/liskeard</t>
  </si>
  <si>
    <t xml:space="preserve">RPA88</t>
  </si>
  <si>
    <t xml:space="preserve">The Somerfield Hospital</t>
  </si>
  <si>
    <t xml:space="preserve">ME16 0DU</t>
  </si>
  <si>
    <t xml:space="preserve">NPG07</t>
  </si>
  <si>
    <t xml:space="preserve">SpaMedica Eye Hospital Wakefield</t>
  </si>
  <si>
    <t xml:space="preserve">Spamedica</t>
  </si>
  <si>
    <t xml:space="preserve">Ossett</t>
  </si>
  <si>
    <t xml:space="preserve">WF5 9TJ</t>
  </si>
  <si>
    <t xml:space="preserve">0330 058 4280</t>
  </si>
  <si>
    <t xml:space="preserve">contact@spamedica.co.uk</t>
  </si>
  <si>
    <t xml:space="preserve">http://www.spamedica.co.uk</t>
  </si>
  <si>
    <t xml:space="preserve">AWT01</t>
  </si>
  <si>
    <t xml:space="preserve">Mya St Lukes Hospital</t>
  </si>
  <si>
    <t xml:space="preserve">Mya Cosmetic Surgery Limited</t>
  </si>
  <si>
    <t xml:space="preserve">W1T 5HP</t>
  </si>
  <si>
    <t xml:space="preserve">AXC01</t>
  </si>
  <si>
    <t xml:space="preserve">London Welbeck Hospital</t>
  </si>
  <si>
    <t xml:space="preserve">Welbeck Healthcare Limited</t>
  </si>
  <si>
    <t xml:space="preserve">W1G 8EN</t>
  </si>
  <si>
    <t xml:space="preserve">AXL01</t>
  </si>
  <si>
    <t xml:space="preserve">Mundesley Hospital - Gimingham</t>
  </si>
  <si>
    <t xml:space="preserve">Mundesley Hospital</t>
  </si>
  <si>
    <t xml:space="preserve">NR11 8ET</t>
  </si>
  <si>
    <t xml:space="preserve">NL50N</t>
  </si>
  <si>
    <t xml:space="preserve">Benjamin Court Hospital</t>
  </si>
  <si>
    <t xml:space="preserve">Ascenti</t>
  </si>
  <si>
    <t xml:space="preserve">NR27 0EU</t>
  </si>
  <si>
    <t xml:space="preserve">RF4CM</t>
  </si>
  <si>
    <t xml:space="preserve">The Chelmsford Private Day Surgery Hospital</t>
  </si>
  <si>
    <t xml:space="preserve">CM2 0PP</t>
  </si>
  <si>
    <t xml:space="preserve">RH8D4</t>
  </si>
  <si>
    <t xml:space="preserve">Moretonhampstead Hospital</t>
  </si>
  <si>
    <t xml:space="preserve">TQ13 8LN</t>
  </si>
  <si>
    <t xml:space="preserve">DAM02</t>
  </si>
  <si>
    <t xml:space="preserve">Arbour Lodge Independent Hospital</t>
  </si>
  <si>
    <t xml:space="preserve">Barchester Healthcare Ltd</t>
  </si>
  <si>
    <t xml:space="preserve">SK6 7QL</t>
  </si>
  <si>
    <t xml:space="preserve">DAM03</t>
  </si>
  <si>
    <t xml:space="preserve">Billingham Grange Independent Hospital</t>
  </si>
  <si>
    <t xml:space="preserve">Billingham</t>
  </si>
  <si>
    <t xml:space="preserve">TS23 3TY</t>
  </si>
  <si>
    <t xml:space="preserve">DAM04</t>
  </si>
  <si>
    <t xml:space="preserve">Forest Independent Hospital</t>
  </si>
  <si>
    <t xml:space="preserve">NG18 4XX</t>
  </si>
  <si>
    <t xml:space="preserve">DAM05</t>
  </si>
  <si>
    <t xml:space="preserve">South View - Hazeldene Independent Hospital</t>
  </si>
  <si>
    <t xml:space="preserve">TS23 1DA</t>
  </si>
  <si>
    <t xml:space="preserve">DAM06</t>
  </si>
  <si>
    <t xml:space="preserve">Windermere House Independent Hospital</t>
  </si>
  <si>
    <t xml:space="preserve">DAM07</t>
  </si>
  <si>
    <t xml:space="preserve">Jasmine Court Independent Hospital</t>
  </si>
  <si>
    <t xml:space="preserve">Waltham Abbey</t>
  </si>
  <si>
    <t xml:space="preserve">EN9 3JY</t>
  </si>
  <si>
    <t xml:space="preserve">DAM08</t>
  </si>
  <si>
    <t xml:space="preserve">Castle Lodge Independent Hospital</t>
  </si>
  <si>
    <t xml:space="preserve">HU7 4FG</t>
  </si>
  <si>
    <t xml:space="preserve">DC808</t>
  </si>
  <si>
    <t xml:space="preserve">Rye, Winchelsea &amp; District Memorial Hospital</t>
  </si>
  <si>
    <t xml:space="preserve">Medical Imaging Partnership Ltd</t>
  </si>
  <si>
    <t xml:space="preserve">Rye</t>
  </si>
  <si>
    <t xml:space="preserve">TN31 7UD</t>
  </si>
  <si>
    <t xml:space="preserve">NDAJ0</t>
  </si>
  <si>
    <t xml:space="preserve">Livingstone Community Hospital - Virgin Care Adult Community Services</t>
  </si>
  <si>
    <t xml:space="preserve">DA1 1SA</t>
  </si>
  <si>
    <t xml:space="preserve">01322 622374</t>
  </si>
  <si>
    <t xml:space="preserve">http://www.virgincare.co.uk/service-hub/north-kent-adults</t>
  </si>
  <si>
    <t xml:space="preserve">RMY90</t>
  </si>
  <si>
    <t xml:space="preserve">Peddars Centre, Hellesdon Hospital</t>
  </si>
  <si>
    <t xml:space="preserve">RMYNX</t>
  </si>
  <si>
    <t xml:space="preserve">Foxhall House, Ipswich</t>
  </si>
  <si>
    <t xml:space="preserve">NT30A</t>
  </si>
  <si>
    <t xml:space="preserve">Spire Nottingham Hospital</t>
  </si>
  <si>
    <t xml:space="preserve">NG12 4GA</t>
  </si>
  <si>
    <t xml:space="preserve">0115 937 7800</t>
  </si>
  <si>
    <t xml:space="preserve">ntgbookings@spirehealthcare.com</t>
  </si>
  <si>
    <t xml:space="preserve">https://www.spirehealthcare.com/spire-nottingham-hospital</t>
  </si>
  <si>
    <t xml:space="preserve">RXAG5</t>
  </si>
  <si>
    <t xml:space="preserve">Ancora House</t>
  </si>
  <si>
    <t xml:space="preserve">01244 397258</t>
  </si>
  <si>
    <t xml:space="preserve">http://www.mymind.org.uk</t>
  </si>
  <si>
    <t xml:space="preserve">RQ370</t>
  </si>
  <si>
    <t xml:space="preserve">Birmingham Women's Hospital</t>
  </si>
  <si>
    <t xml:space="preserve">B15 2TG</t>
  </si>
  <si>
    <t xml:space="preserve">RGN90</t>
  </si>
  <si>
    <t xml:space="preserve">Hinchingbrooke Hospital</t>
  </si>
  <si>
    <t xml:space="preserve">Huntingdon</t>
  </si>
  <si>
    <t xml:space="preserve">PE29 6NT</t>
  </si>
  <si>
    <t xml:space="preserve">01480 416416</t>
  </si>
  <si>
    <t xml:space="preserve">RH8D6</t>
  </si>
  <si>
    <t xml:space="preserve">Exeter Community Hospital</t>
  </si>
  <si>
    <t xml:space="preserve">EX1 3RB</t>
  </si>
  <si>
    <t xml:space="preserve">NVC0M</t>
  </si>
  <si>
    <t xml:space="preserve">West Valley Hospital</t>
  </si>
  <si>
    <t xml:space="preserve">CR0 2RD</t>
  </si>
  <si>
    <t xml:space="preserve">020 3946 0010</t>
  </si>
  <si>
    <t xml:space="preserve">croydon.enquiries@ramsayhealth.co.uk</t>
  </si>
  <si>
    <t xml:space="preserve">https://www.westvalleyhospital.co.uk</t>
  </si>
  <si>
    <t xml:space="preserve">RX38Q</t>
  </si>
  <si>
    <t xml:space="preserve">Redcar Primary Care Hospital</t>
  </si>
  <si>
    <t xml:space="preserve">Redcar</t>
  </si>
  <si>
    <t xml:space="preserve">TS10 4NW</t>
  </si>
  <si>
    <t xml:space="preserve">NNFA7</t>
  </si>
  <si>
    <t xml:space="preserve">Goole &amp; District Hospital</t>
  </si>
  <si>
    <t xml:space="preserve">Goole</t>
  </si>
  <si>
    <t xml:space="preserve">DN14 6RX</t>
  </si>
  <si>
    <t xml:space="preserve">01405 720720</t>
  </si>
  <si>
    <t xml:space="preserve">R1L10</t>
  </si>
  <si>
    <t xml:space="preserve">Rochford Community Hospital</t>
  </si>
  <si>
    <t xml:space="preserve">Essex Partnership University NHS Foundation Trust</t>
  </si>
  <si>
    <t xml:space="preserve">Rochford</t>
  </si>
  <si>
    <t xml:space="preserve">SS4 1RB</t>
  </si>
  <si>
    <t xml:space="preserve">01702 538000</t>
  </si>
  <si>
    <t xml:space="preserve">R1L50</t>
  </si>
  <si>
    <t xml:space="preserve">Thurrock Community Hospital</t>
  </si>
  <si>
    <t xml:space="preserve">RM16 2PX</t>
  </si>
  <si>
    <t xml:space="preserve">0300 123 0808</t>
  </si>
  <si>
    <t xml:space="preserve">RHQRC</t>
  </si>
  <si>
    <t xml:space="preserve">Ryegate Childrens Hospital</t>
  </si>
  <si>
    <t xml:space="preserve">S10 5DD</t>
  </si>
  <si>
    <t xml:space="preserve">RK5FK</t>
  </si>
  <si>
    <t xml:space="preserve">Ashfield Community Hospital</t>
  </si>
  <si>
    <t xml:space="preserve">NG17 7AB</t>
  </si>
  <si>
    <t xml:space="preserve">DJ001</t>
  </si>
  <si>
    <t xml:space="preserve">St Lukes Hospice (Harrow)</t>
  </si>
  <si>
    <t xml:space="preserve">HA3 0YG</t>
  </si>
  <si>
    <t xml:space="preserve">DJH01</t>
  </si>
  <si>
    <t xml:space="preserve">The Royal Buckinghamshire Hospital Ltd</t>
  </si>
  <si>
    <t xml:space="preserve">HP19 9AB</t>
  </si>
  <si>
    <t xml:space="preserve">NVC0R</t>
  </si>
  <si>
    <t xml:space="preserve">Tees Valley Hospital</t>
  </si>
  <si>
    <t xml:space="preserve">TS5 7DX</t>
  </si>
  <si>
    <t xml:space="preserve">01642 087334</t>
  </si>
  <si>
    <t xml:space="preserve">https://www.teesvalleyhospital.co.uk</t>
  </si>
  <si>
    <t xml:space="preserve">RTH13</t>
  </si>
  <si>
    <t xml:space="preserve">Oxford City Community Hospital</t>
  </si>
  <si>
    <t xml:space="preserve">DJQ1L</t>
  </si>
  <si>
    <t xml:space="preserve">Farnham Hospital &amp; Centre For Health</t>
  </si>
  <si>
    <t xml:space="preserve">Surrey Healthy Children And Families LLP</t>
  </si>
  <si>
    <t xml:space="preserve">GU9 9QL</t>
  </si>
  <si>
    <t xml:space="preserve">DKF01</t>
  </si>
  <si>
    <t xml:space="preserve">Manchester Private Hospital</t>
  </si>
  <si>
    <t xml:space="preserve">Manchester Private Clinic Ltd</t>
  </si>
  <si>
    <t xml:space="preserve">M5 4HB</t>
  </si>
  <si>
    <t xml:space="preserve">01615078822</t>
  </si>
  <si>
    <t xml:space="preserve">info@manchesterprivatehospital.co.uk</t>
  </si>
  <si>
    <t xml:space="preserve">http://www.manchesterprivatehospital.co.uk</t>
  </si>
  <si>
    <t xml:space="preserve">R0A02</t>
  </si>
  <si>
    <t xml:space="preserve">Manchester Royal Infirmary</t>
  </si>
  <si>
    <t xml:space="preserve">Manchester University NHS Foundation Trust</t>
  </si>
  <si>
    <t xml:space="preserve">M13 9WL</t>
  </si>
  <si>
    <t xml:space="preserve">0161 276 1234</t>
  </si>
  <si>
    <t xml:space="preserve">https://mft.nhs.uk/mri</t>
  </si>
  <si>
    <t xml:space="preserve">R0A03</t>
  </si>
  <si>
    <t xml:space="preserve">Royal Manchester Children's Hospital</t>
  </si>
  <si>
    <t xml:space="preserve">https://mft.nhs.uk/rmch</t>
  </si>
  <si>
    <t xml:space="preserve">R0A04</t>
  </si>
  <si>
    <t xml:space="preserve">Manchester Royal Eye Hospital</t>
  </si>
  <si>
    <t xml:space="preserve">https://mft.nhs.uk/royal-eye</t>
  </si>
  <si>
    <t xml:space="preserve">R0A05</t>
  </si>
  <si>
    <t xml:space="preserve">https://mft.nhs.uk/saint-marys</t>
  </si>
  <si>
    <t xml:space="preserve">R0A07</t>
  </si>
  <si>
    <t xml:space="preserve">Wythenshawe Hospital</t>
  </si>
  <si>
    <t xml:space="preserve">M23 9LT</t>
  </si>
  <si>
    <t xml:space="preserve">01619987070</t>
  </si>
  <si>
    <t xml:space="preserve">https://mft.nhs.uk/wythenshawe</t>
  </si>
  <si>
    <t xml:space="preserve">R0A08</t>
  </si>
  <si>
    <t xml:space="preserve">Withington Community Hospital</t>
  </si>
  <si>
    <t xml:space="preserve">M20 2LR</t>
  </si>
  <si>
    <t xml:space="preserve">01614345555</t>
  </si>
  <si>
    <t xml:space="preserve">https://mft.nhs.uk/withington</t>
  </si>
  <si>
    <t xml:space="preserve">R0A09</t>
  </si>
  <si>
    <t xml:space="preserve">Trafford General Hospital</t>
  </si>
  <si>
    <t xml:space="preserve">0161 748 4022</t>
  </si>
  <si>
    <t xml:space="preserve">https://mft.nhs.uk/trafford</t>
  </si>
  <si>
    <t xml:space="preserve">R0A10</t>
  </si>
  <si>
    <t xml:space="preserve">Altrincham Hospital</t>
  </si>
  <si>
    <t xml:space="preserve">WA14 2RE</t>
  </si>
  <si>
    <t xml:space="preserve">0161 413 7700</t>
  </si>
  <si>
    <t xml:space="preserve">https://mft.nhs.uk/altrincham</t>
  </si>
  <si>
    <t xml:space="preserve">R0A33</t>
  </si>
  <si>
    <t xml:space="preserve">University Dental Hospital</t>
  </si>
  <si>
    <t xml:space="preserve">M15 6FH</t>
  </si>
  <si>
    <t xml:space="preserve">0161 393 7730</t>
  </si>
  <si>
    <t xml:space="preserve">https://mft.nhs.uk/dental</t>
  </si>
  <si>
    <t xml:space="preserve">NBGJ9</t>
  </si>
  <si>
    <t xml:space="preserve">The Wilmslow Hospital</t>
  </si>
  <si>
    <t xml:space="preserve">Mediscan Diagnostics Services Limited</t>
  </si>
  <si>
    <t xml:space="preserve">Wilmslow</t>
  </si>
  <si>
    <t xml:space="preserve">SK9 1NY</t>
  </si>
  <si>
    <t xml:space="preserve">RWG14</t>
  </si>
  <si>
    <t xml:space="preserve">West Hertfordshire Hospitals Therapy Unit</t>
  </si>
  <si>
    <t xml:space="preserve">Abbots Langley</t>
  </si>
  <si>
    <t xml:space="preserve">WD5 0PA</t>
  </si>
  <si>
    <t xml:space="preserve">NV11R</t>
  </si>
  <si>
    <t xml:space="preserve">InHealth - BMI Sandringham Hospital</t>
  </si>
  <si>
    <t xml:space="preserve">InHealth Group Limited</t>
  </si>
  <si>
    <t xml:space="preserve">PE30 4HJ</t>
  </si>
  <si>
    <t xml:space="preserve">AVQ03</t>
  </si>
  <si>
    <t xml:space="preserve">One Hatfield Hospital</t>
  </si>
  <si>
    <t xml:space="preserve">Hatfield</t>
  </si>
  <si>
    <t xml:space="preserve">AL10 9UA</t>
  </si>
  <si>
    <t xml:space="preserve">01707 443333</t>
  </si>
  <si>
    <t xml:space="preserve">hatfield.info@onehealthcare.co.uk</t>
  </si>
  <si>
    <t xml:space="preserve">http://onehealthcare.co.uk/hatfield</t>
  </si>
  <si>
    <t xml:space="preserve">NPG09</t>
  </si>
  <si>
    <t xml:space="preserve">SpaMedica Eye Hospital Bolton</t>
  </si>
  <si>
    <t xml:space="preserve">BL1 1HU</t>
  </si>
  <si>
    <t xml:space="preserve">https://www.spamedica.co.uk</t>
  </si>
  <si>
    <t xml:space="preserve">AXA02</t>
  </si>
  <si>
    <t xml:space="preserve">Royal London Hospital</t>
  </si>
  <si>
    <t xml:space="preserve">Tower Hamlets Gp Care Group CIC</t>
  </si>
  <si>
    <t xml:space="preserve">E1 1BB</t>
  </si>
  <si>
    <t xml:space="preserve">RGT2V</t>
  </si>
  <si>
    <t xml:space="preserve">Oxford University Hospitals</t>
  </si>
  <si>
    <t xml:space="preserve">DM801</t>
  </si>
  <si>
    <t xml:space="preserve">Weymouth Street Hospital</t>
  </si>
  <si>
    <t xml:space="preserve">Phoenix Hospital Group</t>
  </si>
  <si>
    <t xml:space="preserve">W1G 6NP</t>
  </si>
  <si>
    <t xml:space="preserve">020 7935 1200</t>
  </si>
  <si>
    <t xml:space="preserve">https://www.weymouthstreethospital.com</t>
  </si>
  <si>
    <t xml:space="preserve">RYW17</t>
  </si>
  <si>
    <t xml:space="preserve">West Midlands Rehabilitation Centre</t>
  </si>
  <si>
    <t xml:space="preserve">B29 6JA</t>
  </si>
  <si>
    <t xml:space="preserve">http://www.bhamcommunity.nhs.uk/patients-public/rehabilitation</t>
  </si>
  <si>
    <t xml:space="preserve">NYW0A</t>
  </si>
  <si>
    <t xml:space="preserve">Aspen Healthcare - Claremont Hospital</t>
  </si>
  <si>
    <t xml:space="preserve">S40 2AB</t>
  </si>
  <si>
    <t xml:space="preserve">AXG05</t>
  </si>
  <si>
    <t xml:space="preserve">Glenside Hospital</t>
  </si>
  <si>
    <t xml:space="preserve">Wiltshire Health &amp; Care</t>
  </si>
  <si>
    <t xml:space="preserve">SP2 0QD</t>
  </si>
  <si>
    <t xml:space="preserve">RHM0O</t>
  </si>
  <si>
    <t xml:space="preserve">Bournemouth Nuffield Hospital</t>
  </si>
  <si>
    <t xml:space="preserve">RTG54</t>
  </si>
  <si>
    <t xml:space="preserve">Samuel Johnson Community Hospital</t>
  </si>
  <si>
    <t xml:space="preserve">Lichfield</t>
  </si>
  <si>
    <t xml:space="preserve">WS13 6EF</t>
  </si>
  <si>
    <t xml:space="preserve">01283 511511</t>
  </si>
  <si>
    <t xml:space="preserve">RRK97</t>
  </si>
  <si>
    <t xml:space="preserve">Heartlands Hospital</t>
  </si>
  <si>
    <t xml:space="preserve">B9 5SS</t>
  </si>
  <si>
    <t xml:space="preserve">0121 424 2000</t>
  </si>
  <si>
    <t xml:space="preserve">https://www.uhb.nhs.uk</t>
  </si>
  <si>
    <t xml:space="preserve">RRK98</t>
  </si>
  <si>
    <t xml:space="preserve">Good Hope Hospital</t>
  </si>
  <si>
    <t xml:space="preserve">B75 7RR</t>
  </si>
  <si>
    <t xml:space="preserve">RRK99</t>
  </si>
  <si>
    <t xml:space="preserve">Solihull Hospital</t>
  </si>
  <si>
    <t xml:space="preserve">B91 2JL</t>
  </si>
  <si>
    <t xml:space="preserve">01214242000</t>
  </si>
  <si>
    <t xml:space="preserve">RBAH4</t>
  </si>
  <si>
    <t xml:space="preserve">Wellesley Hospital</t>
  </si>
  <si>
    <t xml:space="preserve">TA21 9AD</t>
  </si>
  <si>
    <t xml:space="preserve">RDE05</t>
  </si>
  <si>
    <t xml:space="preserve">Felixstowe Hospital</t>
  </si>
  <si>
    <t xml:space="preserve">Felixstowe</t>
  </si>
  <si>
    <t xml:space="preserve">IP11 7HJ</t>
  </si>
  <si>
    <t xml:space="preserve">RCD4X</t>
  </si>
  <si>
    <t xml:space="preserve">Brompton House Day Hospital And Chidren's Development Centre</t>
  </si>
  <si>
    <t xml:space="preserve">DL6 1EA</t>
  </si>
  <si>
    <t xml:space="preserve">RCD4Y</t>
  </si>
  <si>
    <t xml:space="preserve">Chapel Street Day Hospital</t>
  </si>
  <si>
    <t xml:space="preserve">Thirsk</t>
  </si>
  <si>
    <t xml:space="preserve">YO7 1LU</t>
  </si>
  <si>
    <t xml:space="preserve">NL50B</t>
  </si>
  <si>
    <t xml:space="preserve">Eccleston Health Centre</t>
  </si>
  <si>
    <t xml:space="preserve">PR7 5RA</t>
  </si>
  <si>
    <t xml:space="preserve">DRH01</t>
  </si>
  <si>
    <t xml:space="preserve">Kinvara Private Hospital</t>
  </si>
  <si>
    <t xml:space="preserve">Kinvara Private Hospital Ltd</t>
  </si>
  <si>
    <t xml:space="preserve">S65 2AJ</t>
  </si>
  <si>
    <t xml:space="preserve">RRE4U</t>
  </si>
  <si>
    <t xml:space="preserve">RRE4Z</t>
  </si>
  <si>
    <t xml:space="preserve">University Hospital Of North Staffs</t>
  </si>
  <si>
    <t xml:space="preserve">ST4 7LN</t>
  </si>
  <si>
    <t xml:space="preserve">RREHI</t>
  </si>
  <si>
    <t xml:space="preserve">Airs -Bradwell Hospital</t>
  </si>
  <si>
    <t xml:space="preserve">Newcastle</t>
  </si>
  <si>
    <t xml:space="preserve">ST5 7NL</t>
  </si>
  <si>
    <t xml:space="preserve">NMJ26</t>
  </si>
  <si>
    <t xml:space="preserve">Cygnet Hospital Maidstone</t>
  </si>
  <si>
    <t xml:space="preserve">DE865</t>
  </si>
  <si>
    <t xml:space="preserve">All Saints Hospital</t>
  </si>
  <si>
    <t xml:space="preserve">Elysium Healthcare</t>
  </si>
  <si>
    <t xml:space="preserve">OL8 4EF</t>
  </si>
  <si>
    <t xml:space="preserve">RWK4R</t>
  </si>
  <si>
    <t xml:space="preserve">Steppingley Hospital</t>
  </si>
  <si>
    <t xml:space="preserve">MK45 1AB</t>
  </si>
  <si>
    <t xml:space="preserve">RCX08</t>
  </si>
  <si>
    <t xml:space="preserve">Sandringham Private Hospital</t>
  </si>
  <si>
    <t xml:space="preserve">NMJ0F</t>
  </si>
  <si>
    <t xml:space="preserve">Cygnet Cedar Vale</t>
  </si>
  <si>
    <t xml:space="preserve">NG13 8PJ</t>
  </si>
  <si>
    <t xml:space="preserve">01949 829378</t>
  </si>
  <si>
    <t xml:space="preserve">https://www.cygnethealth.co.uk/locations/cygnet-cedar-vale</t>
  </si>
  <si>
    <t xml:space="preserve">NMJ0Y</t>
  </si>
  <si>
    <t xml:space="preserve">Cygnet Wast Hills</t>
  </si>
  <si>
    <t xml:space="preserve">B38 9ET</t>
  </si>
  <si>
    <t xml:space="preserve">0121 458 2263</t>
  </si>
  <si>
    <t xml:space="preserve">https://www.cygnethealth.co.uk/locations/cygnet-wast-hills</t>
  </si>
  <si>
    <t xml:space="preserve">NMJ0J</t>
  </si>
  <si>
    <t xml:space="preserve">Hollyhurst</t>
  </si>
  <si>
    <t xml:space="preserve">DL3 9LN</t>
  </si>
  <si>
    <t xml:space="preserve">01325 252 002</t>
  </si>
  <si>
    <t xml:space="preserve">https://www.cygnethealth.co.uk/locations/hollyhurst</t>
  </si>
  <si>
    <t xml:space="preserve">NMJ0M</t>
  </si>
  <si>
    <t xml:space="preserve">Blackwell House</t>
  </si>
  <si>
    <t xml:space="preserve">DL2 1PE</t>
  </si>
  <si>
    <t xml:space="preserve">DX101</t>
  </si>
  <si>
    <t xml:space="preserve">The New Foscote Hospital (Foscote Hospital)</t>
  </si>
  <si>
    <t xml:space="preserve">The New Foscote Hospital Ltd</t>
  </si>
  <si>
    <t xml:space="preserve">DX102</t>
  </si>
  <si>
    <t xml:space="preserve">The New Foscote Hospital (Ginsburg Yard)</t>
  </si>
  <si>
    <t xml:space="preserve">NW3 1EW</t>
  </si>
  <si>
    <t xml:space="preserve">NNJ11</t>
  </si>
  <si>
    <t xml:space="preserve">Lutterworth Hospital</t>
  </si>
  <si>
    <t xml:space="preserve">Lutterworth</t>
  </si>
  <si>
    <t xml:space="preserve">LE17 4DZ</t>
  </si>
  <si>
    <t xml:space="preserve">0000 0000 000</t>
  </si>
  <si>
    <t xml:space="preserve">dhu.patient-experience@nhs.net</t>
  </si>
  <si>
    <t xml:space="preserve">http://www.dhuhealthcare.com</t>
  </si>
  <si>
    <t xml:space="preserve">R0B1J</t>
  </si>
  <si>
    <t xml:space="preserve">Monkton Hall Hospital</t>
  </si>
  <si>
    <t xml:space="preserve">South Tyneside And Sunderland NHS Foundation Trust</t>
  </si>
  <si>
    <t xml:space="preserve">RL130</t>
  </si>
  <si>
    <t xml:space="preserve">Spire Yale Hospital</t>
  </si>
  <si>
    <t xml:space="preserve">Wrexham</t>
  </si>
  <si>
    <t xml:space="preserve">LL13 7YP</t>
  </si>
  <si>
    <t xml:space="preserve">RTH39</t>
  </si>
  <si>
    <t xml:space="preserve">B4 6NW</t>
  </si>
  <si>
    <t xml:space="preserve">RTH18</t>
  </si>
  <si>
    <t xml:space="preserve">University Hospital Of Wales</t>
  </si>
  <si>
    <t xml:space="preserve">RX3KI</t>
  </si>
  <si>
    <t xml:space="preserve">Foss Park Hospital</t>
  </si>
  <si>
    <t xml:space="preserve">RGT1W</t>
  </si>
  <si>
    <t xml:space="preserve">Jersey General Hospital</t>
  </si>
  <si>
    <t xml:space="preserve">Jersey</t>
  </si>
  <si>
    <t xml:space="preserve">JE1 3UH</t>
  </si>
  <si>
    <t xml:space="preserve">8A580</t>
  </si>
  <si>
    <t xml:space="preserve">Ellern Mede Ridgeway</t>
  </si>
  <si>
    <t xml:space="preserve">Ellern Mede Barnet</t>
  </si>
  <si>
    <t xml:space="preserve">NW7 4HX</t>
  </si>
  <si>
    <t xml:space="preserve">DAY27</t>
  </si>
  <si>
    <t xml:space="preserve">Stoneygate Eye Hospital</t>
  </si>
  <si>
    <t xml:space="preserve">Llr Provider Company Ltd</t>
  </si>
  <si>
    <t xml:space="preserve">LE2 2PN</t>
  </si>
  <si>
    <t xml:space="preserve">REMBB</t>
  </si>
  <si>
    <t xml:space="preserve">Royal Liverpool University Dental Hospital</t>
  </si>
  <si>
    <t xml:space="preserve">L3 5PS</t>
  </si>
  <si>
    <t xml:space="preserve">REMAH</t>
  </si>
  <si>
    <t xml:space="preserve">Broadgreen Hospital</t>
  </si>
  <si>
    <t xml:space="preserve">L14 3LB</t>
  </si>
  <si>
    <t xml:space="preserve">RRVP5</t>
  </si>
  <si>
    <t xml:space="preserve">Royal National ENT and Eastman Dental Hospitals</t>
  </si>
  <si>
    <t xml:space="preserve">WC1E 6DG</t>
  </si>
  <si>
    <t xml:space="preserve">NV30H</t>
  </si>
  <si>
    <t xml:space="preserve">Circle Rehabilitation Birmingham</t>
  </si>
  <si>
    <t xml:space="preserve">B5 7SA</t>
  </si>
  <si>
    <t xml:space="preserve">ODS24</t>
  </si>
  <si>
    <t xml:space="preserve">Trent PTS - Bilborough</t>
  </si>
  <si>
    <t xml:space="preserve">Trent Pts</t>
  </si>
  <si>
    <t xml:space="preserve">Bilborough</t>
  </si>
  <si>
    <t xml:space="preserve">NG8 4GY</t>
  </si>
  <si>
    <t xml:space="preserve">0115 896 3160</t>
  </si>
  <si>
    <t xml:space="preserve">enquiries@trentpts.co.uk</t>
  </si>
  <si>
    <t xml:space="preserve">http://www.trentpts.co.uk</t>
  </si>
  <si>
    <t xml:space="preserve">ODS23</t>
  </si>
  <si>
    <t xml:space="preserve">Trent PTS - Bingham</t>
  </si>
  <si>
    <t xml:space="preserve">NG13 8AP</t>
  </si>
  <si>
    <t xml:space="preserve">RW40A</t>
  </si>
  <si>
    <t xml:space="preserve">Hartley Hospital</t>
  </si>
  <si>
    <t xml:space="preserve">PR8 6PL</t>
  </si>
  <si>
    <t xml:space="preserve">GAP01</t>
  </si>
  <si>
    <t xml:space="preserve">St Jude's Women's Hospital (HQ)</t>
  </si>
  <si>
    <t xml:space="preserve">St Jude's Women's Hospital</t>
  </si>
  <si>
    <t xml:space="preserve">WV4 5SF</t>
  </si>
  <si>
    <t xml:space="preserve">RYX94</t>
  </si>
  <si>
    <t xml:space="preserve">Langley House Community Hospital</t>
  </si>
  <si>
    <t xml:space="preserve">Central London Community Healthcare NHS Trust</t>
  </si>
  <si>
    <t xml:space="preserve">WD25 9FG</t>
  </si>
  <si>
    <t xml:space="preserve">GC401</t>
  </si>
  <si>
    <t xml:space="preserve">Aset Hospital</t>
  </si>
  <si>
    <t xml:space="preserve">Aset Hospital Hassan Shaaban Limited</t>
  </si>
  <si>
    <t xml:space="preserve">L35 7LS</t>
  </si>
  <si>
    <t xml:space="preserve">RNNBX</t>
  </si>
  <si>
    <t xml:space="preserve">West Cumberland Hospital</t>
  </si>
  <si>
    <t xml:space="preserve">Whitehaven</t>
  </si>
  <si>
    <t xml:space="preserve">CA28 8JG</t>
  </si>
  <si>
    <t xml:space="preserve">RJR59</t>
  </si>
  <si>
    <t xml:space="preserve">Highfield Hospital</t>
  </si>
  <si>
    <t xml:space="preserve">Widnes</t>
  </si>
  <si>
    <t xml:space="preserve">WA8 7DJ</t>
  </si>
  <si>
    <t xml:space="preserve">TP9FD</t>
  </si>
  <si>
    <t xml:space="preserve">Community Eyecare Cataract and Surgical Centre</t>
  </si>
  <si>
    <t xml:space="preserve">Community Health And Eyecare Limited</t>
  </si>
  <si>
    <t xml:space="preserve">WD17 2UB</t>
  </si>
  <si>
    <t xml:space="preserve">TP97Y</t>
  </si>
  <si>
    <t xml:space="preserve">ST4 6NW</t>
  </si>
  <si>
    <t xml:space="preserve">RX40B</t>
  </si>
  <si>
    <t xml:space="preserve">Carleton Clinic</t>
  </si>
  <si>
    <t xml:space="preserve">CA1 3SX</t>
  </si>
  <si>
    <t xml:space="preserve">01228 602000</t>
  </si>
  <si>
    <t xml:space="preserve">NN804</t>
  </si>
  <si>
    <t xml:space="preserve">Spencer Private Hospitals, Canterbury</t>
  </si>
  <si>
    <t xml:space="preserve">01227 206 700</t>
  </si>
  <si>
    <t xml:space="preserve">https://www.spencerprivatehospitals.com</t>
  </si>
  <si>
    <t xml:space="preserve">TAJ82</t>
  </si>
  <si>
    <t xml:space="preserve">Bloxwich Hospital</t>
  </si>
  <si>
    <t xml:space="preserve">WS3 2JJ</t>
  </si>
  <si>
    <t xml:space="preserve">TAJ83</t>
  </si>
  <si>
    <t xml:space="preserve">Dorothy Pattison Hospital</t>
  </si>
  <si>
    <t xml:space="preserve">WS2 9XH</t>
  </si>
  <si>
    <t xml:space="preserve">TAJ92</t>
  </si>
  <si>
    <t xml:space="preserve">Bushey Fields Hospital</t>
  </si>
  <si>
    <t xml:space="preserve">DY1 2LZ</t>
  </si>
  <si>
    <t xml:space="preserve">RAJ75</t>
  </si>
  <si>
    <t xml:space="preserve">Capio Oaks Hospital</t>
  </si>
  <si>
    <t xml:space="preserve">RAJ79</t>
  </si>
  <si>
    <t xml:space="preserve">Marlborough House (Meht)</t>
  </si>
  <si>
    <t xml:space="preserve">CM1 1LN</t>
  </si>
  <si>
    <t xml:space="preserve">RAJ91</t>
  </si>
  <si>
    <t xml:space="preserve">Chelmsford &amp; Essex Hospital</t>
  </si>
  <si>
    <t xml:space="preserve">CM2 0QH</t>
  </si>
  <si>
    <t xml:space="preserve">RAJ96</t>
  </si>
  <si>
    <t xml:space="preserve">Capio Rivers Hospital</t>
  </si>
  <si>
    <t xml:space="preserve">DM802</t>
  </si>
  <si>
    <t xml:space="preserve">No9 Harley St Phoenix Hospital Group</t>
  </si>
  <si>
    <t xml:space="preserve">W1G 9QY</t>
  </si>
  <si>
    <t xml:space="preserve">DM803</t>
  </si>
  <si>
    <t xml:space="preserve">No25 Harley St Phoenix Hospital Group</t>
  </si>
  <si>
    <t xml:space="preserve">DM804</t>
  </si>
  <si>
    <t xml:space="preserve">Phoenix Hospital Chelmsford</t>
  </si>
  <si>
    <t xml:space="preserve">CM2 8HN</t>
  </si>
  <si>
    <t xml:space="preserve">NMJ2F</t>
  </si>
  <si>
    <t xml:space="preserve">Cygnet Hospital Exeter</t>
  </si>
  <si>
    <t xml:space="preserve">EX1 3QE</t>
  </si>
  <si>
    <t xml:space="preserve">GED02</t>
  </si>
  <si>
    <t xml:space="preserve">Mill Lodge Hospital</t>
  </si>
  <si>
    <t xml:space="preserve">Rushcliffe Care</t>
  </si>
  <si>
    <t xml:space="preserve">DE74 2EJ</t>
  </si>
  <si>
    <t xml:space="preserve">NVC1H</t>
  </si>
  <si>
    <t xml:space="preserve">Stourside Hospital</t>
  </si>
  <si>
    <t xml:space="preserve">DY8 1UX</t>
  </si>
  <si>
    <t xml:space="preserve">RH5T8</t>
  </si>
  <si>
    <t xml:space="preserve">Trinity Hospital</t>
  </si>
  <si>
    <t xml:space="preserve">TA1 3JG</t>
  </si>
  <si>
    <t xml:space="preserve">RH5T9</t>
  </si>
  <si>
    <t xml:space="preserve">Butleigh Hospital</t>
  </si>
  <si>
    <t xml:space="preserve">BA6 8TF</t>
  </si>
  <si>
    <t xml:space="preserve">NEF42</t>
  </si>
  <si>
    <t xml:space="preserve">Nightingale Hospital Exeter</t>
  </si>
  <si>
    <t xml:space="preserve">Peninsula Ultrasound Limited</t>
  </si>
  <si>
    <t xml:space="preserve">EX2 7JG</t>
  </si>
  <si>
    <t xml:space="preserve">GFM01</t>
  </si>
  <si>
    <t xml:space="preserve">Harley Street Specialist Hospital</t>
  </si>
  <si>
    <t xml:space="preserve">Medical Innovations Centre Ltd T/A Harley Street Specialist Hospital HQ</t>
  </si>
  <si>
    <t xml:space="preserve">EC3V 1LP</t>
  </si>
  <si>
    <t xml:space="preserve">GFM02</t>
  </si>
  <si>
    <t xml:space="preserve">Harley Street Specialist Hospital (Queen Anne Street)</t>
  </si>
  <si>
    <t xml:space="preserve">W1G 8HU</t>
  </si>
  <si>
    <t xml:space="preserve">REFA8</t>
  </si>
  <si>
    <t xml:space="preserve">Bolitho Hospital</t>
  </si>
  <si>
    <t xml:space="preserve">TR18 4NY</t>
  </si>
  <si>
    <t xml:space="preserve">R0D0K</t>
  </si>
  <si>
    <t xml:space="preserve">Wimborne Community Hospital</t>
  </si>
  <si>
    <t xml:space="preserve">University Hospitals Dorset NHS Foundation Trust</t>
  </si>
  <si>
    <t xml:space="preserve">15CAT</t>
  </si>
  <si>
    <t xml:space="preserve">Clevedon Community Hospital</t>
  </si>
  <si>
    <t xml:space="preserve">L2N2J</t>
  </si>
  <si>
    <t xml:space="preserve">U4J8P</t>
  </si>
  <si>
    <t xml:space="preserve">King Edward Vii Hospital</t>
  </si>
  <si>
    <t xml:space="preserve">V4D7D</t>
  </si>
  <si>
    <t xml:space="preserve">Brackley Medical Centre &amp; Community Hospital</t>
  </si>
  <si>
    <t xml:space="preserve">NN13 6QZ</t>
  </si>
  <si>
    <t xml:space="preserve">F3X4T</t>
  </si>
  <si>
    <t xml:space="preserve">Y8J7D</t>
  </si>
  <si>
    <t xml:space="preserve">Nightingale Hospital Bristol</t>
  </si>
  <si>
    <t xml:space="preserve">BS16 1ZG</t>
  </si>
  <si>
    <t xml:space="preserve">U7P1U</t>
  </si>
  <si>
    <t xml:space="preserve">Farmfield Hospital</t>
  </si>
  <si>
    <t xml:space="preserve">RH6 0BN</t>
  </si>
  <si>
    <t xml:space="preserve">B6Q2K</t>
  </si>
  <si>
    <t xml:space="preserve">Shrewsbury Court Hospital</t>
  </si>
  <si>
    <t xml:space="preserve">RH1 6YY</t>
  </si>
  <si>
    <t xml:space="preserve">K5E9C</t>
  </si>
  <si>
    <t xml:space="preserve">L4S0G</t>
  </si>
  <si>
    <t xml:space="preserve">P3P8S</t>
  </si>
  <si>
    <t xml:space="preserve">ETL Cleaning Log</t>
  </si>
  <si>
    <t xml:space="preserve">Step</t>
  </si>
  <si>
    <t xml:space="preserve">Rows affected</t>
  </si>
  <si>
    <t xml:space="preserve">Detail</t>
  </si>
  <si>
    <t xml:space="preserve">Extract: raw rows loaded</t>
  </si>
  <si>
    <t xml:space="preserve">unnamed leading index column dropped; header 'Fax,,,' repaired to 'Fax'</t>
  </si>
  <si>
    <t xml:space="preserve">Trimmed / collapsed whitespace in text fields</t>
  </si>
  <si>
    <t xml:space="preserve">Blank strings converted to NULL</t>
  </si>
  <si>
    <t xml:space="preserve">all columns combined</t>
  </si>
  <si>
    <t xml:space="preserve">Coordinates outside UK bounding box set to NULL</t>
  </si>
  <si>
    <t xml:space="preserve">Missing coordinates left NULL</t>
  </si>
  <si>
    <t xml:space="preserve">Invalid postcodes set to NULL</t>
  </si>
  <si>
    <t xml:space="preserve">Missing postcode</t>
  </si>
  <si>
    <t xml:space="preserve">Cleaned trailing ',,,' artefacts in Phone</t>
  </si>
  <si>
    <t xml:space="preserve">Cleaned trailing ',,,' artefacts in Fax</t>
  </si>
  <si>
    <t xml:space="preserve">Websites standardised (scheme added, host lower-cased, trailing '/' removed)</t>
  </si>
  <si>
    <t xml:space="preserve">SubType 'UNKNOWN' relabelled 'Not Specified'</t>
  </si>
  <si>
    <t xml:space="preserve">County labels standardised (Durham, Yorkshire(East Riding))</t>
  </si>
  <si>
    <t xml:space="preserve">Missing county before imputation</t>
  </si>
  <si>
    <t xml:space="preserve">County imputed from same city's most common county</t>
  </si>
  <si>
    <t xml:space="preserve">County imputed from nearest hospital with known county (&lt;=10 km)</t>
  </si>
  <si>
    <t xml:space="preserve">County still unknown -&gt; 'Unknown County'</t>
  </si>
  <si>
    <t xml:space="preserve">Missing city -&gt; 'Unknown City'</t>
  </si>
  <si>
    <t xml:space="preserve">Exact duplicate rows</t>
  </si>
  <si>
    <t xml:space="preserve">none found</t>
  </si>
  <si>
    <t xml:space="preserve">Duplicate ODS codes / IDs</t>
  </si>
  <si>
    <t xml:space="preserve">Possible duplicate sites flagged (same name + postcode, different ODS code); kept, not deleted</t>
  </si>
  <si>
    <t xml:space="preserve">Hospitals with at least one contact detail (rows in hospital_contacts)</t>
  </si>
  <si>
    <t xml:space="preserve">Load-ready hospitals rows</t>
  </si>
  <si>
    <t xml:space="preserve">Table</t>
  </si>
  <si>
    <t xml:space="preserve">Column</t>
  </si>
  <si>
    <t xml:space="preserve">Data Type</t>
  </si>
  <si>
    <t xml:space="preserve">Key</t>
  </si>
  <si>
    <t xml:space="preserve">Nullable</t>
  </si>
  <si>
    <t xml:space="preserve">Description</t>
  </si>
  <si>
    <t xml:space="preserve">Rules / Notes</t>
  </si>
  <si>
    <t xml:space="preserve">regions</t>
  </si>
  <si>
    <t xml:space="preserve">region_id</t>
  </si>
  <si>
    <t xml:space="preserve">INT</t>
  </si>
  <si>
    <t xml:space="preserve">PK</t>
  </si>
  <si>
    <t xml:space="preserve">Surrogate key</t>
  </si>
  <si>
    <t xml:space="preserve">Auto-increment</t>
  </si>
  <si>
    <t xml:space="preserve">region_name</t>
  </si>
  <si>
    <t xml:space="preserve">VARCHAR(40)</t>
  </si>
  <si>
    <t xml:space="preserve">NHS England region (plus 'Unknown')</t>
  </si>
  <si>
    <t xml:space="preserve">UNIQUE; derived from county by lookup</t>
  </si>
  <si>
    <t xml:space="preserve">counties</t>
  </si>
  <si>
    <t xml:space="preserve">county_id</t>
  </si>
  <si>
    <t xml:space="preserve">county_name</t>
  </si>
  <si>
    <t xml:space="preserve">County as recorded in ODS, standardised</t>
  </si>
  <si>
    <t xml:space="preserve">UNIQUE; 'Unknown County' where it could not be imputed</t>
  </si>
  <si>
    <t xml:space="preserve">FK</t>
  </si>
  <si>
    <t xml:space="preserve">-&gt; regions.region_id</t>
  </si>
  <si>
    <t xml:space="preserve">Referential integrity</t>
  </si>
  <si>
    <t xml:space="preserve">cities</t>
  </si>
  <si>
    <t xml:space="preserve">city_id</t>
  </si>
  <si>
    <t xml:space="preserve">city_name</t>
  </si>
  <si>
    <t xml:space="preserve">VARCHAR(60)</t>
  </si>
  <si>
    <t xml:space="preserve">City / town</t>
  </si>
  <si>
    <t xml:space="preserve">'Unknown City' where missing in source</t>
  </si>
  <si>
    <t xml:space="preserve">-&gt; counties.county_id</t>
  </si>
  <si>
    <t xml:space="preserve">UNIQUE with city_name (same name can exist in two counties)</t>
  </si>
  <si>
    <t xml:space="preserve">sectors</t>
  </si>
  <si>
    <t xml:space="preserve">sector_id</t>
  </si>
  <si>
    <t xml:space="preserve">sector_name</t>
  </si>
  <si>
    <t xml:space="preserve">VARCHAR(30)</t>
  </si>
  <si>
    <t xml:space="preserve">NHS Sector / Independent Sector</t>
  </si>
  <si>
    <t xml:space="preserve">UNIQUE</t>
  </si>
  <si>
    <t xml:space="preserve">hospital_subtypes</t>
  </si>
  <si>
    <t xml:space="preserve">subtype_id</t>
  </si>
  <si>
    <t xml:space="preserve">subtype_name</t>
  </si>
  <si>
    <t xml:space="preserve">Hospital / Mental Health Hospital / Not Specified</t>
  </si>
  <si>
    <t xml:space="preserve">UNIQUE; source 'UNKNOWN' relabelled</t>
  </si>
  <si>
    <t xml:space="preserve">parent_organisations</t>
  </si>
  <si>
    <t xml:space="preserve">parent_id</t>
  </si>
  <si>
    <t xml:space="preserve">parent_ods_code</t>
  </si>
  <si>
    <t xml:space="preserve">VARCHAR(10)</t>
  </si>
  <si>
    <t xml:space="preserve">ODS code of the parent organisation</t>
  </si>
  <si>
    <t xml:space="preserve">parent_name</t>
  </si>
  <si>
    <t xml:space="preserve">VARCHAR(150)</t>
  </si>
  <si>
    <t xml:space="preserve">Trust / company that operates the hospital</t>
  </si>
  <si>
    <t xml:space="preserve">hospitals</t>
  </si>
  <si>
    <t xml:space="preserve">hospital_id</t>
  </si>
  <si>
    <t xml:space="preserve">OrganisationID from the source file</t>
  </si>
  <si>
    <t xml:space="preserve">Not auto-generated</t>
  </si>
  <si>
    <t xml:space="preserve">organisation_code</t>
  </si>
  <si>
    <t xml:space="preserve">ODS organisation code</t>
  </si>
  <si>
    <t xml:space="preserve">hospital_name</t>
  </si>
  <si>
    <t xml:space="preserve">Hospital / site name</t>
  </si>
  <si>
    <t xml:space="preserve">Trimmed; names are not unique (22 repeated)</t>
  </si>
  <si>
    <t xml:space="preserve">-&gt; sectors.sector_id</t>
  </si>
  <si>
    <t xml:space="preserve">-&gt; hospital_subtypes.subtype_id</t>
  </si>
  <si>
    <t xml:space="preserve">-&gt; parent_organisations.parent_id</t>
  </si>
  <si>
    <t xml:space="preserve">-&gt; cities.city_id (city -&gt; county -&gt; region)</t>
  </si>
  <si>
    <t xml:space="preserve">address_line_1</t>
  </si>
  <si>
    <t xml:space="preserve">VARCHAR(100)</t>
  </si>
  <si>
    <t xml:space="preserve">Address line 1</t>
  </si>
  <si>
    <t xml:space="preserve">NULL if missing (27% missing in source)</t>
  </si>
  <si>
    <t xml:space="preserve">address_line_2</t>
  </si>
  <si>
    <t xml:space="preserve">Address line 2</t>
  </si>
  <si>
    <t xml:space="preserve">NULL if missing</t>
  </si>
  <si>
    <t xml:space="preserve">address_line_3</t>
  </si>
  <si>
    <t xml:space="preserve">Address line 3</t>
  </si>
  <si>
    <t xml:space="preserve">postcode</t>
  </si>
  <si>
    <t xml:space="preserve">VARCHAR(8)</t>
  </si>
  <si>
    <t xml:space="preserve">UK postcode, upper-case, single space</t>
  </si>
  <si>
    <t xml:space="preserve">Format validated by regex; 1 missing</t>
  </si>
  <si>
    <t xml:space="preserve">latitude</t>
  </si>
  <si>
    <t xml:space="preserve">DECIMAL(9,6)</t>
  </si>
  <si>
    <t xml:space="preserve">WGS84 latitude</t>
  </si>
  <si>
    <t xml:space="preserve">CHECK 49-61; 2 missing</t>
  </si>
  <si>
    <t xml:space="preserve">longitude</t>
  </si>
  <si>
    <t xml:space="preserve">WGS84 longitude</t>
  </si>
  <si>
    <t xml:space="preserve">CHECK -9 to 2; 2 missing</t>
  </si>
  <si>
    <t xml:space="preserve">is_pims_managed</t>
  </si>
  <si>
    <t xml:space="preserve">TINYINT(1)</t>
  </si>
  <si>
    <t xml:space="preserve">1 if record is managed in PIMS</t>
  </si>
  <si>
    <t xml:space="preserve">CHECK in (0,1)</t>
  </si>
  <si>
    <t xml:space="preserve">possible_duplicate</t>
  </si>
  <si>
    <t xml:space="preserve">1 if another record has the same name and postcode</t>
  </si>
  <si>
    <t xml:space="preserve">Flag only; row kept</t>
  </si>
  <si>
    <t xml:space="preserve">hospital_contacts</t>
  </si>
  <si>
    <t xml:space="preserve">PK/FK</t>
  </si>
  <si>
    <t xml:space="preserve">-&gt; hospitals.hospital_id (1:0..1)</t>
  </si>
  <si>
    <t xml:space="preserve">Row exists only if the hospital has any contact detail</t>
  </si>
  <si>
    <t xml:space="preserve">phone</t>
  </si>
  <si>
    <t xml:space="preserve">Switchboard phone</t>
  </si>
  <si>
    <t xml:space="preserve">Whitespace normalised</t>
  </si>
  <si>
    <t xml:space="preserve">email</t>
  </si>
  <si>
    <t xml:space="preserve">Contact email</t>
  </si>
  <si>
    <t xml:space="preserve">Lower-cased</t>
  </si>
  <si>
    <t xml:space="preserve">website</t>
  </si>
  <si>
    <t xml:space="preserve">VARCHAR(255)</t>
  </si>
  <si>
    <t xml:space="preserve">Website URL</t>
  </si>
  <si>
    <t xml:space="preserve">https:// added if missing; host lower-cased; trailing / removed</t>
  </si>
  <si>
    <t xml:space="preserve">fax</t>
  </si>
  <si>
    <t xml:space="preserve">Fax number</t>
  </si>
  <si>
    <t xml:space="preserve">Source column held ',,,' artefacts; cleaned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</si>
</sst>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05EB8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5EB8"/>
        <bgColor rgb="FF008080"/>
      </patternFill>
    </fill>
    <fill>
      <patternFill patternType="solid">
        <fgColor rgb="FFFFFF99"/>
        <bgColor rgb="FFFFE69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8CBAD"/>
        </patternFill>
      </fill>
    </dxf>
    <dxf>
      <fill>
        <patternFill patternType="solid">
          <fgColor rgb="FF005EB8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5EB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FF99"/>
      <rgbColor rgb="FF99CCFF"/>
      <rgbColor rgb="FFFF99CC"/>
      <rgbColor rgb="FFCC99FF"/>
      <rgbColor rgb="FFF8CBAD"/>
      <rgbColor rgb="FF4F81BD"/>
      <rgbColor rgb="FF41B6E6"/>
      <rgbColor rgb="FF99CC00"/>
      <rgbColor rgb="FFFFCC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Hospitals by Region: NHS vs Independent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'By Region'!C4</c:f>
              <c:strCache>
                <c:ptCount val="1"/>
                <c:pt idx="0">
                  <c:v>NHS Sector</c:v>
                </c:pt>
              </c:strCache>
            </c:strRef>
          </c:tx>
          <c:spPr>
            <a:solidFill>
              <a:srgbClr val="005e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Region'!$A$5:$A$14</c:f>
              <c:strCache>
                <c:ptCount val="10"/>
                <c:pt idx="0">
                  <c:v>South East</c:v>
                </c:pt>
                <c:pt idx="1">
                  <c:v>South West</c:v>
                </c:pt>
                <c:pt idx="2">
                  <c:v>North West</c:v>
                </c:pt>
                <c:pt idx="3">
                  <c:v>East of England</c:v>
                </c:pt>
                <c:pt idx="4">
                  <c:v>London</c:v>
                </c:pt>
                <c:pt idx="5">
                  <c:v>West Midlands</c:v>
                </c:pt>
                <c:pt idx="6">
                  <c:v>Yorkshire and The Humber</c:v>
                </c:pt>
                <c:pt idx="7">
                  <c:v>East Midlands</c:v>
                </c:pt>
                <c:pt idx="8">
                  <c:v>North East</c:v>
                </c:pt>
                <c:pt idx="9">
                  <c:v>Unknown</c:v>
                </c:pt>
              </c:strCache>
            </c:strRef>
          </c:cat>
          <c:val>
            <c:numRef>
              <c:f>'By Region'!$C$5:$C$14</c:f>
              <c:numCache>
                <c:formatCode>#,##0</c:formatCode>
                <c:ptCount val="10"/>
                <c:pt idx="0">
                  <c:v>112</c:v>
                </c:pt>
                <c:pt idx="1">
                  <c:v>123</c:v>
                </c:pt>
                <c:pt idx="2">
                  <c:v>86</c:v>
                </c:pt>
                <c:pt idx="3">
                  <c:v>66</c:v>
                </c:pt>
                <c:pt idx="4">
                  <c:v>81</c:v>
                </c:pt>
                <c:pt idx="5">
                  <c:v>75</c:v>
                </c:pt>
                <c:pt idx="6">
                  <c:v>83</c:v>
                </c:pt>
                <c:pt idx="7">
                  <c:v>53</c:v>
                </c:pt>
                <c:pt idx="8">
                  <c:v>50</c:v>
                </c:pt>
                <c:pt idx="9">
                  <c:v>14</c:v>
                </c:pt>
              </c:numCache>
            </c:numRef>
          </c:val>
        </c:ser>
        <c:ser>
          <c:idx val="1"/>
          <c:order val="1"/>
          <c:tx>
            <c:strRef>
              <c:f>'By Region'!D4</c:f>
              <c:strCache>
                <c:ptCount val="1"/>
                <c:pt idx="0">
                  <c:v>Independent Sector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Region'!$A$5:$A$14</c:f>
              <c:strCache>
                <c:ptCount val="10"/>
                <c:pt idx="0">
                  <c:v>South East</c:v>
                </c:pt>
                <c:pt idx="1">
                  <c:v>South West</c:v>
                </c:pt>
                <c:pt idx="2">
                  <c:v>North West</c:v>
                </c:pt>
                <c:pt idx="3">
                  <c:v>East of England</c:v>
                </c:pt>
                <c:pt idx="4">
                  <c:v>London</c:v>
                </c:pt>
                <c:pt idx="5">
                  <c:v>West Midlands</c:v>
                </c:pt>
                <c:pt idx="6">
                  <c:v>Yorkshire and The Humber</c:v>
                </c:pt>
                <c:pt idx="7">
                  <c:v>East Midlands</c:v>
                </c:pt>
                <c:pt idx="8">
                  <c:v>North East</c:v>
                </c:pt>
                <c:pt idx="9">
                  <c:v>Unknown</c:v>
                </c:pt>
              </c:strCache>
            </c:strRef>
          </c:cat>
          <c:val>
            <c:numRef>
              <c:f>'By Region'!$D$5:$D$14</c:f>
              <c:numCache>
                <c:formatCode>#,##0</c:formatCode>
                <c:ptCount val="10"/>
                <c:pt idx="0">
                  <c:v>118</c:v>
                </c:pt>
                <c:pt idx="1">
                  <c:v>51</c:v>
                </c:pt>
                <c:pt idx="2">
                  <c:v>52</c:v>
                </c:pt>
                <c:pt idx="3">
                  <c:v>62</c:v>
                </c:pt>
                <c:pt idx="4">
                  <c:v>43</c:v>
                </c:pt>
                <c:pt idx="5">
                  <c:v>48</c:v>
                </c:pt>
                <c:pt idx="6">
                  <c:v>37</c:v>
                </c:pt>
                <c:pt idx="7">
                  <c:v>33</c:v>
                </c:pt>
                <c:pt idx="8">
                  <c:v>19</c:v>
                </c:pt>
                <c:pt idx="9">
                  <c:v>5</c:v>
                </c:pt>
              </c:numCache>
            </c:numRef>
          </c:val>
        </c:ser>
        <c:gapWidth val="150"/>
        <c:overlap val="100"/>
        <c:axId val="16869717"/>
        <c:axId val="22681128"/>
      </c:barChart>
      <c:catAx>
        <c:axId val="168697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81128"/>
        <c:crosses val="autoZero"/>
        <c:auto val="1"/>
        <c:lblAlgn val="ctr"/>
        <c:lblOffset val="100"/>
        <c:noMultiLvlLbl val="0"/>
      </c:catAx>
      <c:valAx>
        <c:axId val="2268112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Hospitals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697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Counties by Hospitals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Counties'!C3</c:f>
              <c:strCache>
                <c:ptCount val="1"/>
                <c:pt idx="0">
                  <c:v>Hospitals</c:v>
                </c:pt>
              </c:strCache>
            </c:strRef>
          </c:tx>
          <c:spPr>
            <a:solidFill>
              <a:srgbClr val="41b6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Counties'!$A$4:$A$18</c:f>
              <c:strCache>
                <c:ptCount val="15"/>
                <c:pt idx="0">
                  <c:v>Greater London</c:v>
                </c:pt>
                <c:pt idx="1">
                  <c:v>West Midlands</c:v>
                </c:pt>
                <c:pt idx="2">
                  <c:v>Kent</c:v>
                </c:pt>
                <c:pt idx="3">
                  <c:v>Surrey</c:v>
                </c:pt>
                <c:pt idx="4">
                  <c:v>Lancashire</c:v>
                </c:pt>
                <c:pt idx="5">
                  <c:v>Devon</c:v>
                </c:pt>
                <c:pt idx="6">
                  <c:v>Essex</c:v>
                </c:pt>
                <c:pt idx="7">
                  <c:v>West Yorkshire</c:v>
                </c:pt>
                <c:pt idx="8">
                  <c:v>Hampshire</c:v>
                </c:pt>
                <c:pt idx="9">
                  <c:v>Merseyside</c:v>
                </c:pt>
                <c:pt idx="10">
                  <c:v>Dorset</c:v>
                </c:pt>
                <c:pt idx="11">
                  <c:v>North Yorkshire</c:v>
                </c:pt>
                <c:pt idx="12">
                  <c:v>Cheshire</c:v>
                </c:pt>
                <c:pt idx="13">
                  <c:v>Avon</c:v>
                </c:pt>
                <c:pt idx="14">
                  <c:v>Hertfordshire</c:v>
                </c:pt>
              </c:strCache>
            </c:strRef>
          </c:cat>
          <c:val>
            <c:numRef>
              <c:f>'Top Counties'!$C$4:$C$18</c:f>
              <c:numCache>
                <c:formatCode>#,##0</c:formatCode>
                <c:ptCount val="15"/>
                <c:pt idx="0">
                  <c:v>100</c:v>
                </c:pt>
                <c:pt idx="1">
                  <c:v>62</c:v>
                </c:pt>
                <c:pt idx="2">
                  <c:v>52</c:v>
                </c:pt>
                <c:pt idx="3">
                  <c:v>46</c:v>
                </c:pt>
                <c:pt idx="4">
                  <c:v>44</c:v>
                </c:pt>
                <c:pt idx="5">
                  <c:v>43</c:v>
                </c:pt>
                <c:pt idx="6">
                  <c:v>42</c:v>
                </c:pt>
                <c:pt idx="7">
                  <c:v>42</c:v>
                </c:pt>
                <c:pt idx="8">
                  <c:v>38</c:v>
                </c:pt>
                <c:pt idx="9">
                  <c:v>34</c:v>
                </c:pt>
                <c:pt idx="10">
                  <c:v>30</c:v>
                </c:pt>
                <c:pt idx="11">
                  <c:v>29</c:v>
                </c:pt>
                <c:pt idx="12">
                  <c:v>28</c:v>
                </c:pt>
                <c:pt idx="13">
                  <c:v>27</c:v>
                </c:pt>
                <c:pt idx="14">
                  <c:v>27</c:v>
                </c:pt>
              </c:numCache>
            </c:numRef>
          </c:val>
        </c:ser>
        <c:gapWidth val="150"/>
        <c:overlap val="0"/>
        <c:axId val="29920646"/>
        <c:axId val="95548911"/>
      </c:barChart>
      <c:catAx>
        <c:axId val="299206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48911"/>
        <c:crosses val="autoZero"/>
        <c:auto val="1"/>
        <c:lblAlgn val="ctr"/>
        <c:lblOffset val="100"/>
        <c:noMultiLvlLbl val="0"/>
      </c:catAx>
      <c:valAx>
        <c:axId val="9554891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Hospitals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20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Dashboard!B18</c:f>
              <c:strCache>
                <c:ptCount val="1"/>
                <c:pt idx="0">
                  <c:v>Hospitals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Dashboard!$A$19:$A$20</c:f>
              <c:strCache>
                <c:ptCount val="2"/>
                <c:pt idx="0">
                  <c:v>Independent Sector</c:v>
                </c:pt>
                <c:pt idx="1">
                  <c:v>NHS Sector</c:v>
                </c:pt>
              </c:strCache>
            </c:strRef>
          </c:cat>
          <c:val>
            <c:numRef>
              <c:f>Dashboard!$B$19:$B$20</c:f>
              <c:numCache>
                <c:formatCode>#,##0</c:formatCode>
                <c:ptCount val="2"/>
                <c:pt idx="0">
                  <c:v>468</c:v>
                </c:pt>
                <c:pt idx="1">
                  <c:v>743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Parent Organisations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'Parent Organisations'!B3</c:f>
              <c:strCache>
                <c:ptCount val="1"/>
                <c:pt idx="0">
                  <c:v>Hospitals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'Parent Organisations'!$A$4:$A$18</c:f>
              <c:strCache>
                <c:ptCount val="15"/>
                <c:pt idx="0">
                  <c:v>BMI Healthcare</c:v>
                </c:pt>
                <c:pt idx="1">
                  <c:v>Spire Healthcare</c:v>
                </c:pt>
                <c:pt idx="2">
                  <c:v>Ramsay Healthcare UK Operations Limited</c:v>
                </c:pt>
                <c:pt idx="3">
                  <c:v>Nuffield Health</c:v>
                </c:pt>
                <c:pt idx="4">
                  <c:v>Cygnet Health Care Limited</c:v>
                </c:pt>
                <c:pt idx="5">
                  <c:v>Dorset Healthcare University NHS Foundation Trust</c:v>
                </c:pt>
                <c:pt idx="6">
                  <c:v>Birmingham and Solihull Mental Health NHS Foundation Trust</c:v>
                </c:pt>
                <c:pt idx="7">
                  <c:v>Priory Group Limited</c:v>
                </c:pt>
                <c:pt idx="8">
                  <c:v>Somerset Partnership NHS Foundation Trust</c:v>
                </c:pt>
                <c:pt idx="9">
                  <c:v>Royal Devon and Exeter NHS Foundation Trust</c:v>
                </c:pt>
                <c:pt idx="10">
                  <c:v>Southern Health NHS Foundation Trust</c:v>
                </c:pt>
                <c:pt idx="11">
                  <c:v>Norfolk and Suffolk NHS Foundation Trust</c:v>
                </c:pt>
                <c:pt idx="12">
                  <c:v>County Durham and Darlington NHS Foundation Trust</c:v>
                </c:pt>
                <c:pt idx="13">
                  <c:v>Humber Teaching NHS Foundation Trust</c:v>
                </c:pt>
                <c:pt idx="14">
                  <c:v>Kent Community Health NHS Foundation Trust</c:v>
                </c:pt>
              </c:strCache>
            </c:strRef>
          </c:cat>
          <c:val>
            <c:numRef>
              <c:f>'Parent Organisations'!$B$4:$B$18</c:f>
              <c:numCache>
                <c:formatCode>#,##0</c:formatCode>
                <c:ptCount val="15"/>
                <c:pt idx="0">
                  <c:v>43</c:v>
                </c:pt>
                <c:pt idx="1">
                  <c:v>35</c:v>
                </c:pt>
                <c:pt idx="2">
                  <c:v>31</c:v>
                </c:pt>
                <c:pt idx="3">
                  <c:v>29</c:v>
                </c:pt>
                <c:pt idx="4">
                  <c:v>24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</c:numCache>
            </c:numRef>
          </c:val>
        </c:ser>
        <c:gapWidth val="150"/>
        <c:overlap val="0"/>
        <c:axId val="25570115"/>
        <c:axId val="37469379"/>
      </c:barChart>
      <c:catAx>
        <c:axId val="255701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69379"/>
        <c:crosses val="autoZero"/>
        <c:auto val="1"/>
        <c:lblAlgn val="ctr"/>
        <c:lblOffset val="100"/>
        <c:noMultiLvlLbl val="0"/>
      </c:catAx>
      <c:valAx>
        <c:axId val="3746937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Hospitals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701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Data Completeness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 Completeness'!C3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rgbClr val="005e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Completeness'!$A$4:$A$5</c:f>
              <c:strCache>
                <c:ptCount val="2"/>
                <c:pt idx="0">
                  <c:v>Independent Sector</c:v>
                </c:pt>
                <c:pt idx="1">
                  <c:v>NHS Sector</c:v>
                </c:pt>
              </c:strCache>
            </c:strRef>
          </c:cat>
          <c:val>
            <c:numRef>
              <c:f>'Data Completeness'!$C$4:$C$5</c:f>
              <c:numCache>
                <c:formatCode>0.0%</c:formatCode>
                <c:ptCount val="2"/>
                <c:pt idx="0">
                  <c:v>0.668803418803419</c:v>
                </c:pt>
                <c:pt idx="1">
                  <c:v>0.8721399730821</c:v>
                </c:pt>
              </c:numCache>
            </c:numRef>
          </c:val>
        </c:ser>
        <c:ser>
          <c:idx val="1"/>
          <c:order val="1"/>
          <c:tx>
            <c:strRef>
              <c:f>'Data Completeness'!D3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rgbClr val="41b6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Completeness'!$A$4:$A$5</c:f>
              <c:strCache>
                <c:ptCount val="2"/>
                <c:pt idx="0">
                  <c:v>Independent Sector</c:v>
                </c:pt>
                <c:pt idx="1">
                  <c:v>NHS Sector</c:v>
                </c:pt>
              </c:strCache>
            </c:strRef>
          </c:cat>
          <c:val>
            <c:numRef>
              <c:f>'Data Completeness'!$D$4:$D$5</c:f>
              <c:numCache>
                <c:formatCode>0.0%</c:formatCode>
                <c:ptCount val="2"/>
                <c:pt idx="0">
                  <c:v>0.391025641025641</c:v>
                </c:pt>
                <c:pt idx="1">
                  <c:v>0.321668909825034</c:v>
                </c:pt>
              </c:numCache>
            </c:numRef>
          </c:val>
        </c:ser>
        <c:ser>
          <c:idx val="2"/>
          <c:order val="2"/>
          <c:tx>
            <c:strRef>
              <c:f>'Data Completeness'!E3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Completeness'!$A$4:$A$5</c:f>
              <c:strCache>
                <c:ptCount val="2"/>
                <c:pt idx="0">
                  <c:v>Independent Sector</c:v>
                </c:pt>
                <c:pt idx="1">
                  <c:v>NHS Sector</c:v>
                </c:pt>
              </c:strCache>
            </c:strRef>
          </c:cat>
          <c:val>
            <c:numRef>
              <c:f>'Data Completeness'!$E$4:$E$5</c:f>
              <c:numCache>
                <c:formatCode>0.0%</c:formatCode>
                <c:ptCount val="2"/>
                <c:pt idx="0">
                  <c:v>0.568376068376068</c:v>
                </c:pt>
                <c:pt idx="1">
                  <c:v>0.790040376850606</c:v>
                </c:pt>
              </c:numCache>
            </c:numRef>
          </c:val>
        </c:ser>
        <c:ser>
          <c:idx val="3"/>
          <c:order val="3"/>
          <c:tx>
            <c:strRef>
              <c:f>'Data Completeness'!F3</c:f>
              <c:strCache>
                <c:ptCount val="1"/>
                <c:pt idx="0">
                  <c:v>Postcode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Completeness'!$A$4:$A$5</c:f>
              <c:strCache>
                <c:ptCount val="2"/>
                <c:pt idx="0">
                  <c:v>Independent Sector</c:v>
                </c:pt>
                <c:pt idx="1">
                  <c:v>NHS Sector</c:v>
                </c:pt>
              </c:strCache>
            </c:strRef>
          </c:cat>
          <c:val>
            <c:numRef>
              <c:f>'Data Completeness'!$F$4:$F$5</c:f>
              <c:numCache>
                <c:formatCode>0.0%</c:formatCode>
                <c:ptCount val="2"/>
                <c:pt idx="0">
                  <c:v>1</c:v>
                </c:pt>
                <c:pt idx="1">
                  <c:v>0.998654104979812</c:v>
                </c:pt>
              </c:numCache>
            </c:numRef>
          </c:val>
        </c:ser>
        <c:ser>
          <c:idx val="4"/>
          <c:order val="4"/>
          <c:tx>
            <c:strRef>
              <c:f>'Data Completeness'!G3</c:f>
              <c:strCache>
                <c:ptCount val="1"/>
                <c:pt idx="0">
                  <c:v>Coordinates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Completeness'!$A$4:$A$5</c:f>
              <c:strCache>
                <c:ptCount val="2"/>
                <c:pt idx="0">
                  <c:v>Independent Sector</c:v>
                </c:pt>
                <c:pt idx="1">
                  <c:v>NHS Sector</c:v>
                </c:pt>
              </c:strCache>
            </c:strRef>
          </c:cat>
          <c:val>
            <c:numRef>
              <c:f>'Data Completeness'!$G$4:$G$5</c:f>
              <c:numCache>
                <c:formatCode>0.0%</c:formatCode>
                <c:ptCount val="2"/>
                <c:pt idx="0">
                  <c:v>0.997863247863248</c:v>
                </c:pt>
                <c:pt idx="1">
                  <c:v>0.998654104979812</c:v>
                </c:pt>
              </c:numCache>
            </c:numRef>
          </c:val>
        </c:ser>
        <c:gapWidth val="150"/>
        <c:overlap val="0"/>
        <c:axId val="22574460"/>
        <c:axId val="62283219"/>
      </c:barChart>
      <c:catAx>
        <c:axId val="22574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83219"/>
        <c:crosses val="autoZero"/>
        <c:auto val="1"/>
        <c:lblAlgn val="ctr"/>
        <c:lblOffset val="100"/>
        <c:noMultiLvlLbl val="0"/>
      </c:catAx>
      <c:valAx>
        <c:axId val="6228321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populated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74460"/>
        <c:crosses val="autoZero"/>
        <c:crossBetween val="between"/>
        <c:majorUnit val="0.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147600</xdr:colOff>
      <xdr:row>19</xdr:row>
      <xdr:rowOff>11520</xdr:rowOff>
    </xdr:to>
    <xdr:graphicFrame>
      <xdr:nvGraphicFramePr>
        <xdr:cNvPr id="0" name="Chart 1"/>
        <xdr:cNvGraphicFramePr/>
      </xdr:nvGraphicFramePr>
      <xdr:xfrm>
        <a:off x="6039000" y="83808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13</xdr:col>
      <xdr:colOff>147600</xdr:colOff>
      <xdr:row>40</xdr:row>
      <xdr:rowOff>170640</xdr:rowOff>
    </xdr:to>
    <xdr:graphicFrame>
      <xdr:nvGraphicFramePr>
        <xdr:cNvPr id="1" name="Chart 2"/>
        <xdr:cNvGraphicFramePr/>
      </xdr:nvGraphicFramePr>
      <xdr:xfrm>
        <a:off x="6039000" y="4457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2</xdr:col>
      <xdr:colOff>216360</xdr:colOff>
      <xdr:row>35</xdr:row>
      <xdr:rowOff>32400</xdr:rowOff>
    </xdr:to>
    <xdr:graphicFrame>
      <xdr:nvGraphicFramePr>
        <xdr:cNvPr id="2" name="Chart 3"/>
        <xdr:cNvGraphicFramePr/>
      </xdr:nvGraphicFramePr>
      <xdr:xfrm>
        <a:off x="0" y="426708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16</xdr:col>
      <xdr:colOff>473400</xdr:colOff>
      <xdr:row>63</xdr:row>
      <xdr:rowOff>149760</xdr:rowOff>
    </xdr:to>
    <xdr:graphicFrame>
      <xdr:nvGraphicFramePr>
        <xdr:cNvPr id="3" name="Chart 4"/>
        <xdr:cNvGraphicFramePr/>
      </xdr:nvGraphicFramePr>
      <xdr:xfrm>
        <a:off x="6039000" y="845820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3</xdr:col>
      <xdr:colOff>669600</xdr:colOff>
      <xdr:row>54</xdr:row>
      <xdr:rowOff>11520</xdr:rowOff>
    </xdr:to>
    <xdr:graphicFrame>
      <xdr:nvGraphicFramePr>
        <xdr:cNvPr id="4" name="Chart 5"/>
        <xdr:cNvGraphicFramePr/>
      </xdr:nvGraphicFramePr>
      <xdr:xfrm>
        <a:off x="0" y="75056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5"/>
  </cols>
  <sheetData>
    <row r="1" customFormat="false" ht="36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5" t="s">
        <v>7</v>
      </c>
      <c r="C5" s="6" t="n">
        <f aca="false">COUNTA(Data!$A$2:$A$1212)</f>
        <v>1211</v>
      </c>
      <c r="D5" s="5" t="str">
        <f aca="false">IF(ISNUMBER(B5),IF(C5&gt;=B5,"Meets target","Below target"),"-")</f>
        <v>-</v>
      </c>
    </row>
    <row r="6" customFormat="false" ht="15" hidden="false" customHeight="false" outlineLevel="0" collapsed="false">
      <c r="A6" s="5" t="s">
        <v>8</v>
      </c>
      <c r="B6" s="5" t="s">
        <v>7</v>
      </c>
      <c r="C6" s="6" t="n">
        <f aca="false">COUNTIFS(Data!$D$2:$D$1212,"NHS Sector")</f>
        <v>743</v>
      </c>
      <c r="D6" s="5" t="str">
        <f aca="false">IF(ISNUMBER(B6),IF(C6&gt;=B6,"Meets target","Below target"),"-")</f>
        <v>-</v>
      </c>
    </row>
    <row r="7" customFormat="false" ht="15" hidden="false" customHeight="false" outlineLevel="0" collapsed="false">
      <c r="A7" s="5" t="s">
        <v>9</v>
      </c>
      <c r="B7" s="5" t="s">
        <v>7</v>
      </c>
      <c r="C7" s="6" t="n">
        <f aca="false">COUNTIFS(Data!$D$2:$D$1212,"Independent Sector")</f>
        <v>468</v>
      </c>
      <c r="D7" s="5" t="str">
        <f aca="false">IF(ISNUMBER(B7),IF(C7&gt;=B7,"Meets target","Below target"),"-")</f>
        <v>-</v>
      </c>
    </row>
    <row r="8" customFormat="false" ht="15" hidden="false" customHeight="false" outlineLevel="0" collapsed="false">
      <c r="A8" s="5" t="s">
        <v>10</v>
      </c>
      <c r="B8" s="5" t="s">
        <v>7</v>
      </c>
      <c r="C8" s="7" t="n">
        <f aca="false">C7/C5</f>
        <v>0.386457473162676</v>
      </c>
      <c r="D8" s="5" t="str">
        <f aca="false">IF(ISNUMBER(B8),IF(C8&gt;=B8,"Meets target","Below target"),"-")</f>
        <v>-</v>
      </c>
    </row>
    <row r="9" customFormat="false" ht="15" hidden="false" customHeight="false" outlineLevel="0" collapsed="false">
      <c r="A9" s="5" t="s">
        <v>11</v>
      </c>
      <c r="B9" s="5" t="s">
        <v>7</v>
      </c>
      <c r="C9" s="6" t="n">
        <f aca="false">ROUND(SUMPRODUCT(1/COUNTIF(Data!$F$2:$F$1212,Data!$F$2:$F$1212)),0)</f>
        <v>307</v>
      </c>
      <c r="D9" s="5" t="str">
        <f aca="false">IF(ISNUMBER(B9),IF(C9&gt;=B9,"Meets target","Below target"),"-")</f>
        <v>-</v>
      </c>
    </row>
    <row r="10" customFormat="false" ht="15" hidden="false" customHeight="false" outlineLevel="0" collapsed="false">
      <c r="A10" s="5" t="s">
        <v>12</v>
      </c>
      <c r="B10" s="8" t="n">
        <v>0.9</v>
      </c>
      <c r="C10" s="7" t="n">
        <f aca="false">COUNTIFS(Data!$N$2:$N$1212,"&lt;&gt;")/C5</f>
        <v>0.793559042113955</v>
      </c>
      <c r="D10" s="5" t="str">
        <f aca="false">IF(ISNUMBER(B10),IF(C10&gt;=B10,"Meets target","Below target"),"-")</f>
        <v>Below target</v>
      </c>
    </row>
    <row r="11" customFormat="false" ht="15" hidden="false" customHeight="false" outlineLevel="0" collapsed="false">
      <c r="A11" s="5" t="s">
        <v>13</v>
      </c>
      <c r="B11" s="8" t="n">
        <v>0.5</v>
      </c>
      <c r="C11" s="7" t="n">
        <f aca="false">COUNTIFS(Data!$O$2:$O$1212,"&lt;&gt;")/C5</f>
        <v>0.348472336911643</v>
      </c>
      <c r="D11" s="5" t="str">
        <f aca="false">IF(ISNUMBER(B11),IF(C11&gt;=B11,"Meets target","Below target"),"-")</f>
        <v>Below target</v>
      </c>
    </row>
    <row r="12" customFormat="false" ht="15" hidden="false" customHeight="false" outlineLevel="0" collapsed="false">
      <c r="A12" s="5" t="s">
        <v>14</v>
      </c>
      <c r="B12" s="8" t="n">
        <v>0.9</v>
      </c>
      <c r="C12" s="7" t="n">
        <f aca="false">COUNTIFS(Data!$P$2:$P$1212,"&lt;&gt;")/C5</f>
        <v>0.704376548307184</v>
      </c>
      <c r="D12" s="5" t="str">
        <f aca="false">IF(ISNUMBER(B12),IF(C12&gt;=B12,"Meets target","Below target"),"-")</f>
        <v>Below target</v>
      </c>
    </row>
    <row r="13" customFormat="false" ht="15" hidden="false" customHeight="false" outlineLevel="0" collapsed="false">
      <c r="A13" s="5" t="s">
        <v>15</v>
      </c>
      <c r="B13" s="8" t="n">
        <v>0.99</v>
      </c>
      <c r="C13" s="7" t="n">
        <f aca="false">COUNTIFS(Data!$J$2:$J$1212,"&lt;&gt;")/C5</f>
        <v>0.999174236168456</v>
      </c>
      <c r="D13" s="5" t="str">
        <f aca="false">IF(ISNUMBER(B13),IF(C13&gt;=B13,"Meets target","Below target"),"-")</f>
        <v>Meets target</v>
      </c>
    </row>
    <row r="14" customFormat="false" ht="15" hidden="false" customHeight="false" outlineLevel="0" collapsed="false">
      <c r="A14" s="5" t="s">
        <v>16</v>
      </c>
      <c r="B14" s="8" t="n">
        <v>0.99</v>
      </c>
      <c r="C14" s="7" t="n">
        <f aca="false">COUNTIFS(Data!$K$2:$K$1212,"&lt;&gt;")/C5</f>
        <v>0.998348472336912</v>
      </c>
      <c r="D14" s="5" t="str">
        <f aca="false">IF(ISNUMBER(B14),IF(C14&gt;=B14,"Meets target","Below target"),"-")</f>
        <v>Meets target</v>
      </c>
    </row>
    <row r="15" customFormat="false" ht="15" hidden="false" customHeight="false" outlineLevel="0" collapsed="false">
      <c r="A15" s="5" t="s">
        <v>17</v>
      </c>
      <c r="B15" s="8" t="n">
        <v>0.98</v>
      </c>
      <c r="C15" s="7" t="n">
        <f aca="false">1-COUNTIFS(Data!$H$2:$H$1212,"Unknown County")/C5</f>
        <v>0.984310487200661</v>
      </c>
      <c r="D15" s="5" t="str">
        <f aca="false">IF(ISNUMBER(B15),IF(C15&gt;=B15,"Meets target","Below target"),"-")</f>
        <v>Meets target</v>
      </c>
    </row>
    <row r="16" customFormat="false" ht="15" hidden="false" customHeight="false" outlineLevel="0" collapsed="false">
      <c r="A16" s="3" t="s">
        <v>18</v>
      </c>
    </row>
    <row r="18" customFormat="false" ht="15" hidden="false" customHeight="false" outlineLevel="0" collapsed="false">
      <c r="A18" s="4" t="s">
        <v>19</v>
      </c>
      <c r="B18" s="4" t="s">
        <v>20</v>
      </c>
      <c r="C18" s="4" t="s">
        <v>21</v>
      </c>
    </row>
    <row r="19" customFormat="false" ht="15" hidden="false" customHeight="false" outlineLevel="0" collapsed="false">
      <c r="A19" s="5" t="s">
        <v>22</v>
      </c>
      <c r="B19" s="9" t="n">
        <f aca="false">COUNTIFS(Data!$D$2:$D$1212,$A19)</f>
        <v>468</v>
      </c>
      <c r="C19" s="10" t="n">
        <f aca="false">B19/SUM(B$19:B$20)</f>
        <v>0.386457473162676</v>
      </c>
    </row>
    <row r="20" customFormat="false" ht="15" hidden="false" customHeight="false" outlineLevel="0" collapsed="false">
      <c r="A20" s="5" t="s">
        <v>23</v>
      </c>
      <c r="B20" s="9" t="n">
        <f aca="false">COUNTIFS(Data!$D$2:$D$1212,$A20)</f>
        <v>743</v>
      </c>
      <c r="C20" s="10" t="n">
        <f aca="false">B20/SUM(B$19:B$20)</f>
        <v>0.613542526837325</v>
      </c>
    </row>
  </sheetData>
  <conditionalFormatting sqref="D5:D15">
    <cfRule type="expression" priority="2" aboveAverage="0" equalAverage="0" bottom="0" percent="0" rank="0" text="" dxfId="0">
      <formula>D5="Below target"</formula>
    </cfRule>
    <cfRule type="expression" priority="3" aboveAverage="0" equalAverage="0" bottom="0" percent="0" rank="0" text="" dxfId="1">
      <formula>D5="Meets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1" t="s">
        <v>24</v>
      </c>
    </row>
    <row r="2" customFormat="false" ht="15" hidden="false" customHeight="false" outlineLevel="0" collapsed="false">
      <c r="A2" s="12" t="s">
        <v>25</v>
      </c>
    </row>
    <row r="4" customFormat="false" ht="31.5" hidden="false" customHeight="true" outlineLevel="0" collapsed="false">
      <c r="A4" s="4" t="s">
        <v>26</v>
      </c>
      <c r="B4" s="4" t="s">
        <v>20</v>
      </c>
      <c r="C4" s="4" t="s">
        <v>23</v>
      </c>
      <c r="D4" s="4" t="s">
        <v>22</v>
      </c>
      <c r="E4" s="4" t="s">
        <v>27</v>
      </c>
      <c r="F4" s="4" t="s">
        <v>28</v>
      </c>
    </row>
    <row r="5" customFormat="false" ht="15" hidden="false" customHeight="false" outlineLevel="0" collapsed="false">
      <c r="A5" s="5" t="s">
        <v>29</v>
      </c>
      <c r="B5" s="9" t="n">
        <f aca="false">COUNTIFS(Data!$I$2:$I$1212,$A5)</f>
        <v>230</v>
      </c>
      <c r="C5" s="9" t="n">
        <f aca="false">COUNTIFS(Data!$I$2:$I$1212,$A5,Data!$D$2:$D$1212,"NHS Sector")</f>
        <v>112</v>
      </c>
      <c r="D5" s="9" t="n">
        <f aca="false">COUNTIFS(Data!$I$2:$I$1212,$A5,Data!$D$2:$D$1212,"Independent Sector")</f>
        <v>118</v>
      </c>
      <c r="E5" s="10" t="n">
        <f aca="false">IFERROR(D5/B5,0)</f>
        <v>0.51304347826087</v>
      </c>
      <c r="F5" s="10" t="n">
        <f aca="false">B5/B$15</f>
        <v>0.189925681255161</v>
      </c>
    </row>
    <row r="6" customFormat="false" ht="15" hidden="false" customHeight="false" outlineLevel="0" collapsed="false">
      <c r="A6" s="5" t="s">
        <v>30</v>
      </c>
      <c r="B6" s="9" t="n">
        <f aca="false">COUNTIFS(Data!$I$2:$I$1212,$A6)</f>
        <v>174</v>
      </c>
      <c r="C6" s="9" t="n">
        <f aca="false">COUNTIFS(Data!$I$2:$I$1212,$A6,Data!$D$2:$D$1212,"NHS Sector")</f>
        <v>123</v>
      </c>
      <c r="D6" s="9" t="n">
        <f aca="false">COUNTIFS(Data!$I$2:$I$1212,$A6,Data!$D$2:$D$1212,"Independent Sector")</f>
        <v>51</v>
      </c>
      <c r="E6" s="10" t="n">
        <f aca="false">IFERROR(D6/B6,0)</f>
        <v>0.293103448275862</v>
      </c>
      <c r="F6" s="10" t="n">
        <f aca="false">B6/B$15</f>
        <v>0.143682906688687</v>
      </c>
    </row>
    <row r="7" customFormat="false" ht="15" hidden="false" customHeight="false" outlineLevel="0" collapsed="false">
      <c r="A7" s="5" t="s">
        <v>31</v>
      </c>
      <c r="B7" s="9" t="n">
        <f aca="false">COUNTIFS(Data!$I$2:$I$1212,$A7)</f>
        <v>138</v>
      </c>
      <c r="C7" s="9" t="n">
        <f aca="false">COUNTIFS(Data!$I$2:$I$1212,$A7,Data!$D$2:$D$1212,"NHS Sector")</f>
        <v>86</v>
      </c>
      <c r="D7" s="9" t="n">
        <f aca="false">COUNTIFS(Data!$I$2:$I$1212,$A7,Data!$D$2:$D$1212,"Independent Sector")</f>
        <v>52</v>
      </c>
      <c r="E7" s="10" t="n">
        <f aca="false">IFERROR(D7/B7,0)</f>
        <v>0.376811594202899</v>
      </c>
      <c r="F7" s="10" t="n">
        <f aca="false">B7/B$15</f>
        <v>0.113955408753097</v>
      </c>
    </row>
    <row r="8" customFormat="false" ht="15" hidden="false" customHeight="false" outlineLevel="0" collapsed="false">
      <c r="A8" s="5" t="s">
        <v>32</v>
      </c>
      <c r="B8" s="9" t="n">
        <f aca="false">COUNTIFS(Data!$I$2:$I$1212,$A8)</f>
        <v>128</v>
      </c>
      <c r="C8" s="9" t="n">
        <f aca="false">COUNTIFS(Data!$I$2:$I$1212,$A8,Data!$D$2:$D$1212,"NHS Sector")</f>
        <v>66</v>
      </c>
      <c r="D8" s="9" t="n">
        <f aca="false">COUNTIFS(Data!$I$2:$I$1212,$A8,Data!$D$2:$D$1212,"Independent Sector")</f>
        <v>62</v>
      </c>
      <c r="E8" s="10" t="n">
        <f aca="false">IFERROR(D8/B8,0)</f>
        <v>0.484375</v>
      </c>
      <c r="F8" s="10" t="n">
        <f aca="false">B8/B$15</f>
        <v>0.105697770437655</v>
      </c>
    </row>
    <row r="9" customFormat="false" ht="15" hidden="false" customHeight="false" outlineLevel="0" collapsed="false">
      <c r="A9" s="5" t="s">
        <v>33</v>
      </c>
      <c r="B9" s="9" t="n">
        <f aca="false">COUNTIFS(Data!$I$2:$I$1212,$A9)</f>
        <v>124</v>
      </c>
      <c r="C9" s="9" t="n">
        <f aca="false">COUNTIFS(Data!$I$2:$I$1212,$A9,Data!$D$2:$D$1212,"NHS Sector")</f>
        <v>81</v>
      </c>
      <c r="D9" s="9" t="n">
        <f aca="false">COUNTIFS(Data!$I$2:$I$1212,$A9,Data!$D$2:$D$1212,"Independent Sector")</f>
        <v>43</v>
      </c>
      <c r="E9" s="10" t="n">
        <f aca="false">IFERROR(D9/B9,0)</f>
        <v>0.346774193548387</v>
      </c>
      <c r="F9" s="10" t="n">
        <f aca="false">B9/B$15</f>
        <v>0.102394715111478</v>
      </c>
    </row>
    <row r="10" customFormat="false" ht="15" hidden="false" customHeight="false" outlineLevel="0" collapsed="false">
      <c r="A10" s="5" t="s">
        <v>34</v>
      </c>
      <c r="B10" s="9" t="n">
        <f aca="false">COUNTIFS(Data!$I$2:$I$1212,$A10)</f>
        <v>123</v>
      </c>
      <c r="C10" s="9" t="n">
        <f aca="false">COUNTIFS(Data!$I$2:$I$1212,$A10,Data!$D$2:$D$1212,"NHS Sector")</f>
        <v>75</v>
      </c>
      <c r="D10" s="9" t="n">
        <f aca="false">COUNTIFS(Data!$I$2:$I$1212,$A10,Data!$D$2:$D$1212,"Independent Sector")</f>
        <v>48</v>
      </c>
      <c r="E10" s="10" t="n">
        <f aca="false">IFERROR(D10/B10,0)</f>
        <v>0.390243902439024</v>
      </c>
      <c r="F10" s="10" t="n">
        <f aca="false">B10/B$15</f>
        <v>0.101568951279934</v>
      </c>
    </row>
    <row r="11" customFormat="false" ht="15" hidden="false" customHeight="false" outlineLevel="0" collapsed="false">
      <c r="A11" s="5" t="s">
        <v>35</v>
      </c>
      <c r="B11" s="9" t="n">
        <f aca="false">COUNTIFS(Data!$I$2:$I$1212,$A11)</f>
        <v>120</v>
      </c>
      <c r="C11" s="9" t="n">
        <f aca="false">COUNTIFS(Data!$I$2:$I$1212,$A11,Data!$D$2:$D$1212,"NHS Sector")</f>
        <v>83</v>
      </c>
      <c r="D11" s="9" t="n">
        <f aca="false">COUNTIFS(Data!$I$2:$I$1212,$A11,Data!$D$2:$D$1212,"Independent Sector")</f>
        <v>37</v>
      </c>
      <c r="E11" s="10" t="n">
        <f aca="false">IFERROR(D11/B11,0)</f>
        <v>0.308333333333333</v>
      </c>
      <c r="F11" s="10" t="n">
        <f aca="false">B11/B$15</f>
        <v>0.0990916597853014</v>
      </c>
    </row>
    <row r="12" customFormat="false" ht="15" hidden="false" customHeight="false" outlineLevel="0" collapsed="false">
      <c r="A12" s="5" t="s">
        <v>36</v>
      </c>
      <c r="B12" s="9" t="n">
        <f aca="false">COUNTIFS(Data!$I$2:$I$1212,$A12)</f>
        <v>86</v>
      </c>
      <c r="C12" s="9" t="n">
        <f aca="false">COUNTIFS(Data!$I$2:$I$1212,$A12,Data!$D$2:$D$1212,"NHS Sector")</f>
        <v>53</v>
      </c>
      <c r="D12" s="9" t="n">
        <f aca="false">COUNTIFS(Data!$I$2:$I$1212,$A12,Data!$D$2:$D$1212,"Independent Sector")</f>
        <v>33</v>
      </c>
      <c r="E12" s="10" t="n">
        <f aca="false">IFERROR(D12/B12,0)</f>
        <v>0.383720930232558</v>
      </c>
      <c r="F12" s="10" t="n">
        <f aca="false">B12/B$15</f>
        <v>0.0710156895127993</v>
      </c>
    </row>
    <row r="13" customFormat="false" ht="15" hidden="false" customHeight="false" outlineLevel="0" collapsed="false">
      <c r="A13" s="5" t="s">
        <v>37</v>
      </c>
      <c r="B13" s="9" t="n">
        <f aca="false">COUNTIFS(Data!$I$2:$I$1212,$A13)</f>
        <v>69</v>
      </c>
      <c r="C13" s="9" t="n">
        <f aca="false">COUNTIFS(Data!$I$2:$I$1212,$A13,Data!$D$2:$D$1212,"NHS Sector")</f>
        <v>50</v>
      </c>
      <c r="D13" s="9" t="n">
        <f aca="false">COUNTIFS(Data!$I$2:$I$1212,$A13,Data!$D$2:$D$1212,"Independent Sector")</f>
        <v>19</v>
      </c>
      <c r="E13" s="10" t="n">
        <f aca="false">IFERROR(D13/B13,0)</f>
        <v>0.27536231884058</v>
      </c>
      <c r="F13" s="10" t="n">
        <f aca="false">B13/B$15</f>
        <v>0.0569777043765483</v>
      </c>
    </row>
    <row r="14" customFormat="false" ht="15" hidden="false" customHeight="false" outlineLevel="0" collapsed="false">
      <c r="A14" s="5" t="s">
        <v>38</v>
      </c>
      <c r="B14" s="9" t="n">
        <f aca="false">COUNTIFS(Data!$I$2:$I$1212,$A14)</f>
        <v>19</v>
      </c>
      <c r="C14" s="9" t="n">
        <f aca="false">COUNTIFS(Data!$I$2:$I$1212,$A14,Data!$D$2:$D$1212,"NHS Sector")</f>
        <v>14</v>
      </c>
      <c r="D14" s="9" t="n">
        <f aca="false">COUNTIFS(Data!$I$2:$I$1212,$A14,Data!$D$2:$D$1212,"Independent Sector")</f>
        <v>5</v>
      </c>
      <c r="E14" s="10" t="n">
        <f aca="false">IFERROR(D14/B14,0)</f>
        <v>0.263157894736842</v>
      </c>
      <c r="F14" s="10" t="n">
        <f aca="false">B14/B$15</f>
        <v>0.0156895127993394</v>
      </c>
    </row>
    <row r="15" customFormat="false" ht="15" hidden="false" customHeight="false" outlineLevel="0" collapsed="false">
      <c r="A15" s="13" t="s">
        <v>39</v>
      </c>
      <c r="B15" s="14" t="n">
        <f aca="false">SUM(B5:B14)</f>
        <v>1211</v>
      </c>
      <c r="C15" s="14" t="n">
        <f aca="false">SUM(C5:C14)</f>
        <v>743</v>
      </c>
      <c r="D15" s="14" t="n">
        <f aca="false">SUM(D5:D14)</f>
        <v>468</v>
      </c>
      <c r="E15" s="15" t="n">
        <f aca="false">D15/B15</f>
        <v>0.386457473162676</v>
      </c>
      <c r="F15" s="15" t="n">
        <f aca="false">SUM(F5:F14)</f>
        <v>1</v>
      </c>
    </row>
  </sheetData>
  <conditionalFormatting sqref="B5:B14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{911E6244-A069-435E-B792-D9C5DA9D6C6E}</x14:id>
        </ext>
      </extLst>
    </cfRule>
  </conditionalFormatting>
  <conditionalFormatting sqref="E5:E14">
    <cfRule type="expression" priority="3" aboveAverage="0" equalAverage="0" bottom="0" percent="0" rank="0" text="" dxfId="2">
      <formula>E5&gt;$E$15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1E6244-A069-435E-B792-D9C5DA9D6C6E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B5:B14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1" t="s">
        <v>40</v>
      </c>
    </row>
    <row r="3" customFormat="false" ht="27.75" hidden="false" customHeight="true" outlineLevel="0" collapsed="false">
      <c r="A3" s="4" t="s">
        <v>41</v>
      </c>
      <c r="B3" s="4" t="s">
        <v>26</v>
      </c>
      <c r="C3" s="4" t="s">
        <v>20</v>
      </c>
      <c r="D3" s="4" t="s">
        <v>42</v>
      </c>
      <c r="E3" s="4" t="s">
        <v>43</v>
      </c>
    </row>
    <row r="4" customFormat="false" ht="15" hidden="false" customHeight="false" outlineLevel="0" collapsed="false">
      <c r="A4" s="5" t="s">
        <v>44</v>
      </c>
      <c r="B4" s="5" t="s">
        <v>33</v>
      </c>
      <c r="C4" s="9" t="n">
        <f aca="false">COUNTIFS(Data!$H$2:$H$1212,$A4)</f>
        <v>100</v>
      </c>
      <c r="D4" s="10" t="n">
        <f aca="false">C4/COUNTA(Data!$A$2:$A$1212)</f>
        <v>0.0825763831544178</v>
      </c>
      <c r="E4" s="10" t="n">
        <f aca="false">SUM(D$4:D4)</f>
        <v>0.0825763831544178</v>
      </c>
    </row>
    <row r="5" customFormat="false" ht="15" hidden="false" customHeight="false" outlineLevel="0" collapsed="false">
      <c r="A5" s="5" t="s">
        <v>34</v>
      </c>
      <c r="B5" s="5" t="s">
        <v>34</v>
      </c>
      <c r="C5" s="9" t="n">
        <f aca="false">COUNTIFS(Data!$H$2:$H$1212,$A5)</f>
        <v>62</v>
      </c>
      <c r="D5" s="10" t="n">
        <f aca="false">C5/COUNTA(Data!$A$2:$A$1212)</f>
        <v>0.0511973575557391</v>
      </c>
      <c r="E5" s="10" t="n">
        <f aca="false">SUM(D$4:D5)</f>
        <v>0.133773740710157</v>
      </c>
    </row>
    <row r="6" customFormat="false" ht="15" hidden="false" customHeight="false" outlineLevel="0" collapsed="false">
      <c r="A6" s="5" t="s">
        <v>45</v>
      </c>
      <c r="B6" s="5" t="s">
        <v>29</v>
      </c>
      <c r="C6" s="9" t="n">
        <f aca="false">COUNTIFS(Data!$H$2:$H$1212,$A6)</f>
        <v>52</v>
      </c>
      <c r="D6" s="10" t="n">
        <f aca="false">C6/COUNTA(Data!$A$2:$A$1212)</f>
        <v>0.0429397192402973</v>
      </c>
      <c r="E6" s="10" t="n">
        <f aca="false">SUM(D$4:D6)</f>
        <v>0.176713459950454</v>
      </c>
    </row>
    <row r="7" customFormat="false" ht="15" hidden="false" customHeight="false" outlineLevel="0" collapsed="false">
      <c r="A7" s="5" t="s">
        <v>46</v>
      </c>
      <c r="B7" s="5" t="s">
        <v>29</v>
      </c>
      <c r="C7" s="9" t="n">
        <f aca="false">COUNTIFS(Data!$H$2:$H$1212,$A7)</f>
        <v>46</v>
      </c>
      <c r="D7" s="10" t="n">
        <f aca="false">C7/COUNTA(Data!$A$2:$A$1212)</f>
        <v>0.0379851362510322</v>
      </c>
      <c r="E7" s="10" t="n">
        <f aca="false">SUM(D$4:D7)</f>
        <v>0.214698596201486</v>
      </c>
    </row>
    <row r="8" customFormat="false" ht="15" hidden="false" customHeight="false" outlineLevel="0" collapsed="false">
      <c r="A8" s="5" t="s">
        <v>47</v>
      </c>
      <c r="B8" s="5" t="s">
        <v>31</v>
      </c>
      <c r="C8" s="9" t="n">
        <f aca="false">COUNTIFS(Data!$H$2:$H$1212,$A8)</f>
        <v>44</v>
      </c>
      <c r="D8" s="10" t="n">
        <f aca="false">C8/COUNTA(Data!$A$2:$A$1212)</f>
        <v>0.0363336085879439</v>
      </c>
      <c r="E8" s="10" t="n">
        <f aca="false">SUM(D$4:D8)</f>
        <v>0.25103220478943</v>
      </c>
    </row>
    <row r="9" customFormat="false" ht="15" hidden="false" customHeight="false" outlineLevel="0" collapsed="false">
      <c r="A9" s="5" t="s">
        <v>48</v>
      </c>
      <c r="B9" s="5" t="s">
        <v>30</v>
      </c>
      <c r="C9" s="9" t="n">
        <f aca="false">COUNTIFS(Data!$H$2:$H$1212,$A9)</f>
        <v>43</v>
      </c>
      <c r="D9" s="10" t="n">
        <f aca="false">C9/COUNTA(Data!$A$2:$A$1212)</f>
        <v>0.0355078447563997</v>
      </c>
      <c r="E9" s="10" t="n">
        <f aca="false">SUM(D$4:D9)</f>
        <v>0.28654004954583</v>
      </c>
    </row>
    <row r="10" customFormat="false" ht="15" hidden="false" customHeight="false" outlineLevel="0" collapsed="false">
      <c r="A10" s="5" t="s">
        <v>49</v>
      </c>
      <c r="B10" s="5" t="s">
        <v>32</v>
      </c>
      <c r="C10" s="9" t="n">
        <f aca="false">COUNTIFS(Data!$H$2:$H$1212,$A10)</f>
        <v>42</v>
      </c>
      <c r="D10" s="10" t="n">
        <f aca="false">C10/COUNTA(Data!$A$2:$A$1212)</f>
        <v>0.0346820809248555</v>
      </c>
      <c r="E10" s="10" t="n">
        <f aca="false">SUM(D$4:D10)</f>
        <v>0.321222130470685</v>
      </c>
    </row>
    <row r="11" customFormat="false" ht="15" hidden="false" customHeight="false" outlineLevel="0" collapsed="false">
      <c r="A11" s="5" t="s">
        <v>50</v>
      </c>
      <c r="B11" s="5" t="s">
        <v>35</v>
      </c>
      <c r="C11" s="9" t="n">
        <f aca="false">COUNTIFS(Data!$H$2:$H$1212,$A11)</f>
        <v>42</v>
      </c>
      <c r="D11" s="10" t="n">
        <f aca="false">C11/COUNTA(Data!$A$2:$A$1212)</f>
        <v>0.0346820809248555</v>
      </c>
      <c r="E11" s="10" t="n">
        <f aca="false">SUM(D$4:D11)</f>
        <v>0.355904211395541</v>
      </c>
    </row>
    <row r="12" customFormat="false" ht="15" hidden="false" customHeight="false" outlineLevel="0" collapsed="false">
      <c r="A12" s="5" t="s">
        <v>51</v>
      </c>
      <c r="B12" s="5" t="s">
        <v>29</v>
      </c>
      <c r="C12" s="9" t="n">
        <f aca="false">COUNTIFS(Data!$H$2:$H$1212,$A12)</f>
        <v>38</v>
      </c>
      <c r="D12" s="10" t="n">
        <f aca="false">C12/COUNTA(Data!$A$2:$A$1212)</f>
        <v>0.0313790255986788</v>
      </c>
      <c r="E12" s="10" t="n">
        <f aca="false">SUM(D$4:D12)</f>
        <v>0.38728323699422</v>
      </c>
    </row>
    <row r="13" customFormat="false" ht="15" hidden="false" customHeight="false" outlineLevel="0" collapsed="false">
      <c r="A13" s="5" t="s">
        <v>52</v>
      </c>
      <c r="B13" s="5" t="s">
        <v>31</v>
      </c>
      <c r="C13" s="9" t="n">
        <f aca="false">COUNTIFS(Data!$H$2:$H$1212,$A13)</f>
        <v>34</v>
      </c>
      <c r="D13" s="10" t="n">
        <f aca="false">C13/COUNTA(Data!$A$2:$A$1212)</f>
        <v>0.0280759702725021</v>
      </c>
      <c r="E13" s="10" t="n">
        <f aca="false">SUM(D$4:D13)</f>
        <v>0.415359207266722</v>
      </c>
    </row>
    <row r="14" customFormat="false" ht="15" hidden="false" customHeight="false" outlineLevel="0" collapsed="false">
      <c r="A14" s="5" t="s">
        <v>53</v>
      </c>
      <c r="B14" s="5" t="s">
        <v>30</v>
      </c>
      <c r="C14" s="9" t="n">
        <f aca="false">COUNTIFS(Data!$H$2:$H$1212,$A14)</f>
        <v>30</v>
      </c>
      <c r="D14" s="10" t="n">
        <f aca="false">C14/COUNTA(Data!$A$2:$A$1212)</f>
        <v>0.0247729149463254</v>
      </c>
      <c r="E14" s="10" t="n">
        <f aca="false">SUM(D$4:D14)</f>
        <v>0.440132122213047</v>
      </c>
    </row>
    <row r="15" customFormat="false" ht="15" hidden="false" customHeight="false" outlineLevel="0" collapsed="false">
      <c r="A15" s="5" t="s">
        <v>54</v>
      </c>
      <c r="B15" s="5" t="s">
        <v>35</v>
      </c>
      <c r="C15" s="9" t="n">
        <f aca="false">COUNTIFS(Data!$H$2:$H$1212,$A15)</f>
        <v>29</v>
      </c>
      <c r="D15" s="10" t="n">
        <f aca="false">C15/COUNTA(Data!$A$2:$A$1212)</f>
        <v>0.0239471511147812</v>
      </c>
      <c r="E15" s="10" t="n">
        <f aca="false">SUM(D$4:D15)</f>
        <v>0.464079273327828</v>
      </c>
    </row>
    <row r="16" customFormat="false" ht="15" hidden="false" customHeight="false" outlineLevel="0" collapsed="false">
      <c r="A16" s="5" t="s">
        <v>55</v>
      </c>
      <c r="B16" s="5" t="s">
        <v>31</v>
      </c>
      <c r="C16" s="9" t="n">
        <f aca="false">COUNTIFS(Data!$H$2:$H$1212,$A16)</f>
        <v>28</v>
      </c>
      <c r="D16" s="10" t="n">
        <f aca="false">C16/COUNTA(Data!$A$2:$A$1212)</f>
        <v>0.023121387283237</v>
      </c>
      <c r="E16" s="10" t="n">
        <f aca="false">SUM(D$4:D16)</f>
        <v>0.487200660611065</v>
      </c>
    </row>
    <row r="17" customFormat="false" ht="15" hidden="false" customHeight="false" outlineLevel="0" collapsed="false">
      <c r="A17" s="5" t="s">
        <v>56</v>
      </c>
      <c r="B17" s="5" t="s">
        <v>30</v>
      </c>
      <c r="C17" s="9" t="n">
        <f aca="false">COUNTIFS(Data!$H$2:$H$1212,$A17)</f>
        <v>27</v>
      </c>
      <c r="D17" s="10" t="n">
        <f aca="false">C17/COUNTA(Data!$A$2:$A$1212)</f>
        <v>0.0222956234516928</v>
      </c>
      <c r="E17" s="10" t="n">
        <f aca="false">SUM(D$4:D17)</f>
        <v>0.509496284062758</v>
      </c>
    </row>
    <row r="18" customFormat="false" ht="15" hidden="false" customHeight="false" outlineLevel="0" collapsed="false">
      <c r="A18" s="5" t="s">
        <v>57</v>
      </c>
      <c r="B18" s="5" t="s">
        <v>32</v>
      </c>
      <c r="C18" s="9" t="n">
        <f aca="false">COUNTIFS(Data!$H$2:$H$1212,$A18)</f>
        <v>27</v>
      </c>
      <c r="D18" s="10" t="n">
        <f aca="false">C18/COUNTA(Data!$A$2:$A$1212)</f>
        <v>0.0222956234516928</v>
      </c>
      <c r="E18" s="10" t="n">
        <f aca="false">SUM(D$4:D18)</f>
        <v>0.531791907514451</v>
      </c>
    </row>
  </sheetData>
  <conditionalFormatting sqref="C4:C18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{7BFE60CC-178D-4EA6-938F-9F44238EA91C}</x14:id>
        </ext>
      </extLst>
    </cfRule>
  </conditionalFormatting>
  <conditionalFormatting sqref="E4:E18">
    <cfRule type="colorScale" priority="3">
      <colorScale>
        <cfvo type="min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FE60CC-178D-4EA6-938F-9F44238EA91C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C4:C18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1" t="s">
        <v>58</v>
      </c>
    </row>
    <row r="3" customFormat="false" ht="27.75" hidden="false" customHeight="true" outlineLevel="0" collapsed="false">
      <c r="A3" s="4" t="s">
        <v>59</v>
      </c>
      <c r="B3" s="4" t="s">
        <v>20</v>
      </c>
      <c r="C3" s="4" t="s">
        <v>42</v>
      </c>
      <c r="D3" s="4" t="s">
        <v>60</v>
      </c>
    </row>
    <row r="4" customFormat="false" ht="15" hidden="false" customHeight="false" outlineLevel="0" collapsed="false">
      <c r="A4" s="5" t="s">
        <v>61</v>
      </c>
      <c r="B4" s="9" t="n">
        <f aca="false">COUNTIFS(Data!$F$2:$F$1212,$A4)</f>
        <v>43</v>
      </c>
      <c r="C4" s="10" t="n">
        <f aca="false">B4/COUNTA(Data!$A$2:$A$1212)</f>
        <v>0.0355078447563997</v>
      </c>
      <c r="D4" s="5" t="s">
        <v>22</v>
      </c>
    </row>
    <row r="5" customFormat="false" ht="15" hidden="false" customHeight="false" outlineLevel="0" collapsed="false">
      <c r="A5" s="5" t="s">
        <v>62</v>
      </c>
      <c r="B5" s="9" t="n">
        <f aca="false">COUNTIFS(Data!$F$2:$F$1212,$A5)</f>
        <v>35</v>
      </c>
      <c r="C5" s="10" t="n">
        <f aca="false">B5/COUNTA(Data!$A$2:$A$1212)</f>
        <v>0.0289017341040462</v>
      </c>
      <c r="D5" s="5" t="s">
        <v>22</v>
      </c>
    </row>
    <row r="6" customFormat="false" ht="15" hidden="false" customHeight="false" outlineLevel="0" collapsed="false">
      <c r="A6" s="5" t="s">
        <v>63</v>
      </c>
      <c r="B6" s="9" t="n">
        <f aca="false">COUNTIFS(Data!$F$2:$F$1212,$A6)</f>
        <v>31</v>
      </c>
      <c r="C6" s="10" t="n">
        <f aca="false">B6/COUNTA(Data!$A$2:$A$1212)</f>
        <v>0.0255986787778695</v>
      </c>
      <c r="D6" s="5" t="s">
        <v>22</v>
      </c>
    </row>
    <row r="7" customFormat="false" ht="15" hidden="false" customHeight="false" outlineLevel="0" collapsed="false">
      <c r="A7" s="5" t="s">
        <v>64</v>
      </c>
      <c r="B7" s="9" t="n">
        <f aca="false">COUNTIFS(Data!$F$2:$F$1212,$A7)</f>
        <v>29</v>
      </c>
      <c r="C7" s="10" t="n">
        <f aca="false">B7/COUNTA(Data!$A$2:$A$1212)</f>
        <v>0.0239471511147812</v>
      </c>
      <c r="D7" s="5" t="s">
        <v>22</v>
      </c>
    </row>
    <row r="8" customFormat="false" ht="15" hidden="false" customHeight="false" outlineLevel="0" collapsed="false">
      <c r="A8" s="5" t="s">
        <v>65</v>
      </c>
      <c r="B8" s="9" t="n">
        <f aca="false">COUNTIFS(Data!$F$2:$F$1212,$A8)</f>
        <v>24</v>
      </c>
      <c r="C8" s="10" t="n">
        <f aca="false">B8/COUNTA(Data!$A$2:$A$1212)</f>
        <v>0.0198183319570603</v>
      </c>
      <c r="D8" s="5" t="s">
        <v>23</v>
      </c>
    </row>
    <row r="9" customFormat="false" ht="15" hidden="false" customHeight="false" outlineLevel="0" collapsed="false">
      <c r="A9" s="5" t="s">
        <v>66</v>
      </c>
      <c r="B9" s="9" t="n">
        <f aca="false">COUNTIFS(Data!$F$2:$F$1212,$A9)</f>
        <v>20</v>
      </c>
      <c r="C9" s="10" t="n">
        <f aca="false">B9/COUNTA(Data!$A$2:$A$1212)</f>
        <v>0.0165152766308836</v>
      </c>
      <c r="D9" s="5" t="s">
        <v>23</v>
      </c>
    </row>
    <row r="10" customFormat="false" ht="15" hidden="false" customHeight="false" outlineLevel="0" collapsed="false">
      <c r="A10" s="5" t="s">
        <v>67</v>
      </c>
      <c r="B10" s="9" t="n">
        <f aca="false">COUNTIFS(Data!$F$2:$F$1212,$A10)</f>
        <v>18</v>
      </c>
      <c r="C10" s="10" t="n">
        <f aca="false">B10/COUNTA(Data!$A$2:$A$1212)</f>
        <v>0.0148637489677952</v>
      </c>
      <c r="D10" s="5" t="s">
        <v>23</v>
      </c>
    </row>
    <row r="11" customFormat="false" ht="15" hidden="false" customHeight="false" outlineLevel="0" collapsed="false">
      <c r="A11" s="5" t="s">
        <v>68</v>
      </c>
      <c r="B11" s="9" t="n">
        <f aca="false">COUNTIFS(Data!$F$2:$F$1212,$A11)</f>
        <v>18</v>
      </c>
      <c r="C11" s="10" t="n">
        <f aca="false">B11/COUNTA(Data!$A$2:$A$1212)</f>
        <v>0.0148637489677952</v>
      </c>
      <c r="D11" s="5" t="s">
        <v>22</v>
      </c>
    </row>
    <row r="12" customFormat="false" ht="15" hidden="false" customHeight="false" outlineLevel="0" collapsed="false">
      <c r="A12" s="5" t="s">
        <v>69</v>
      </c>
      <c r="B12" s="9" t="n">
        <f aca="false">COUNTIFS(Data!$F$2:$F$1212,$A12)</f>
        <v>15</v>
      </c>
      <c r="C12" s="10" t="n">
        <f aca="false">B12/COUNTA(Data!$A$2:$A$1212)</f>
        <v>0.0123864574731627</v>
      </c>
      <c r="D12" s="5" t="s">
        <v>23</v>
      </c>
    </row>
    <row r="13" customFormat="false" ht="15" hidden="false" customHeight="false" outlineLevel="0" collapsed="false">
      <c r="A13" s="5" t="s">
        <v>70</v>
      </c>
      <c r="B13" s="9" t="n">
        <f aca="false">COUNTIFS(Data!$F$2:$F$1212,$A13)</f>
        <v>14</v>
      </c>
      <c r="C13" s="10" t="n">
        <f aca="false">B13/COUNTA(Data!$A$2:$A$1212)</f>
        <v>0.0115606936416185</v>
      </c>
      <c r="D13" s="5" t="s">
        <v>23</v>
      </c>
    </row>
    <row r="14" customFormat="false" ht="15" hidden="false" customHeight="false" outlineLevel="0" collapsed="false">
      <c r="A14" s="5" t="s">
        <v>71</v>
      </c>
      <c r="B14" s="9" t="n">
        <f aca="false">COUNTIFS(Data!$F$2:$F$1212,$A14)</f>
        <v>14</v>
      </c>
      <c r="C14" s="10" t="n">
        <f aca="false">B14/COUNTA(Data!$A$2:$A$1212)</f>
        <v>0.0115606936416185</v>
      </c>
      <c r="D14" s="5" t="s">
        <v>22</v>
      </c>
    </row>
    <row r="15" customFormat="false" ht="15" hidden="false" customHeight="false" outlineLevel="0" collapsed="false">
      <c r="A15" s="5" t="s">
        <v>72</v>
      </c>
      <c r="B15" s="9" t="n">
        <f aca="false">COUNTIFS(Data!$F$2:$F$1212,$A15)</f>
        <v>13</v>
      </c>
      <c r="C15" s="10" t="n">
        <f aca="false">B15/COUNTA(Data!$A$2:$A$1212)</f>
        <v>0.0107349298100743</v>
      </c>
      <c r="D15" s="5" t="s">
        <v>23</v>
      </c>
    </row>
    <row r="16" customFormat="false" ht="15" hidden="false" customHeight="false" outlineLevel="0" collapsed="false">
      <c r="A16" s="5" t="s">
        <v>73</v>
      </c>
      <c r="B16" s="9" t="n">
        <f aca="false">COUNTIFS(Data!$F$2:$F$1212,$A16)</f>
        <v>12</v>
      </c>
      <c r="C16" s="10" t="n">
        <f aca="false">B16/COUNTA(Data!$A$2:$A$1212)</f>
        <v>0.00990916597853014</v>
      </c>
      <c r="D16" s="5" t="s">
        <v>22</v>
      </c>
    </row>
    <row r="17" customFormat="false" ht="15" hidden="false" customHeight="false" outlineLevel="0" collapsed="false">
      <c r="A17" s="5" t="s">
        <v>74</v>
      </c>
      <c r="B17" s="9" t="n">
        <f aca="false">COUNTIFS(Data!$F$2:$F$1212,$A17)</f>
        <v>12</v>
      </c>
      <c r="C17" s="10" t="n">
        <f aca="false">B17/COUNTA(Data!$A$2:$A$1212)</f>
        <v>0.00990916597853014</v>
      </c>
      <c r="D17" s="5" t="s">
        <v>23</v>
      </c>
    </row>
    <row r="18" customFormat="false" ht="15" hidden="false" customHeight="false" outlineLevel="0" collapsed="false">
      <c r="A18" s="5" t="s">
        <v>75</v>
      </c>
      <c r="B18" s="9" t="n">
        <f aca="false">COUNTIFS(Data!$F$2:$F$1212,$A18)</f>
        <v>12</v>
      </c>
      <c r="C18" s="10" t="n">
        <f aca="false">B18/COUNTA(Data!$A$2:$A$1212)</f>
        <v>0.00990916597853014</v>
      </c>
      <c r="D18" s="5" t="s">
        <v>23</v>
      </c>
    </row>
    <row r="20" customFormat="false" ht="15" hidden="false" customHeight="false" outlineLevel="0" collapsed="false">
      <c r="A20" s="12" t="s">
        <v>76</v>
      </c>
    </row>
  </sheetData>
  <conditionalFormatting sqref="B4:B18">
    <cfRule type="dataBar" priority="2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{A0D54FBD-D2F9-48B0-B8C8-BE55EEF48847}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D54FBD-D2F9-48B0-B8C8-BE55EEF48847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B4:B18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1" t="s">
        <v>77</v>
      </c>
    </row>
    <row r="3" customFormat="false" ht="27.75" hidden="false" customHeight="true" outlineLevel="0" collapsed="false">
      <c r="A3" s="4" t="s">
        <v>19</v>
      </c>
      <c r="B3" s="4" t="s">
        <v>20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82</v>
      </c>
    </row>
    <row r="4" customFormat="false" ht="15" hidden="false" customHeight="false" outlineLevel="0" collapsed="false">
      <c r="A4" s="5" t="s">
        <v>22</v>
      </c>
      <c r="B4" s="9" t="n">
        <f aca="false">COUNTIFS(Data!$D$2:$D$1212,$A4)</f>
        <v>468</v>
      </c>
      <c r="C4" s="10" t="n">
        <f aca="false">IFERROR(COUNTIFS(Data!$D$2:$D$1212,$A4,Data!$N$2:$N$1212,"&lt;&gt;")/$B4,0)</f>
        <v>0.668803418803419</v>
      </c>
      <c r="D4" s="10" t="n">
        <f aca="false">IFERROR(COUNTIFS(Data!$D$2:$D$1212,$A4,Data!$O$2:$O$1212,"&lt;&gt;")/$B4,0)</f>
        <v>0.391025641025641</v>
      </c>
      <c r="E4" s="10" t="n">
        <f aca="false">IFERROR(COUNTIFS(Data!$D$2:$D$1212,$A4,Data!$P$2:$P$1212,"&lt;&gt;")/$B4,0)</f>
        <v>0.568376068376068</v>
      </c>
      <c r="F4" s="10" t="n">
        <f aca="false">IFERROR(COUNTIFS(Data!$D$2:$D$1212,$A4,Data!$J$2:$J$1212,"&lt;&gt;")/$B4,0)</f>
        <v>1</v>
      </c>
      <c r="G4" s="10" t="n">
        <f aca="false">IFERROR(COUNTIFS(Data!$D$2:$D$1212,$A4,Data!$K$2:$K$1212,"&lt;&gt;")/$B4,0)</f>
        <v>0.997863247863248</v>
      </c>
    </row>
    <row r="5" customFormat="false" ht="15" hidden="false" customHeight="false" outlineLevel="0" collapsed="false">
      <c r="A5" s="5" t="s">
        <v>23</v>
      </c>
      <c r="B5" s="9" t="n">
        <f aca="false">COUNTIFS(Data!$D$2:$D$1212,$A5)</f>
        <v>743</v>
      </c>
      <c r="C5" s="10" t="n">
        <f aca="false">IFERROR(COUNTIFS(Data!$D$2:$D$1212,$A5,Data!$N$2:$N$1212,"&lt;&gt;")/$B5,0)</f>
        <v>0.8721399730821</v>
      </c>
      <c r="D5" s="10" t="n">
        <f aca="false">IFERROR(COUNTIFS(Data!$D$2:$D$1212,$A5,Data!$O$2:$O$1212,"&lt;&gt;")/$B5,0)</f>
        <v>0.321668909825034</v>
      </c>
      <c r="E5" s="10" t="n">
        <f aca="false">IFERROR(COUNTIFS(Data!$D$2:$D$1212,$A5,Data!$P$2:$P$1212,"&lt;&gt;")/$B5,0)</f>
        <v>0.790040376850606</v>
      </c>
      <c r="F5" s="10" t="n">
        <f aca="false">IFERROR(COUNTIFS(Data!$D$2:$D$1212,$A5,Data!$J$2:$J$1212,"&lt;&gt;")/$B5,0)</f>
        <v>0.998654104979812</v>
      </c>
      <c r="G5" s="10" t="n">
        <f aca="false">IFERROR(COUNTIFS(Data!$D$2:$D$1212,$A5,Data!$K$2:$K$1212,"&lt;&gt;")/$B5,0)</f>
        <v>0.998654104979812</v>
      </c>
    </row>
  </sheetData>
  <conditionalFormatting sqref="C4:G5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9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8" min="7" style="0" width="20"/>
    <col collapsed="false" customWidth="true" hidden="false" outlineLevel="0" max="9" min="9" style="0" width="24"/>
    <col collapsed="false" customWidth="true" hidden="false" outlineLevel="0" max="12" min="10" style="0" width="10"/>
    <col collapsed="false" customWidth="true" hidden="false" outlineLevel="0" max="13" min="13" style="0" width="9"/>
    <col collapsed="false" customWidth="true" hidden="false" outlineLevel="0" max="14" min="14" style="0" width="15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1"/>
  </cols>
  <sheetData>
    <row r="1" customFormat="false" ht="31.5" hidden="false" customHeight="true" outlineLevel="0" collapsed="false">
      <c r="A1" s="4" t="s">
        <v>83</v>
      </c>
      <c r="B1" s="4" t="s">
        <v>84</v>
      </c>
      <c r="C1" s="4" t="s">
        <v>85</v>
      </c>
      <c r="D1" s="4" t="s">
        <v>19</v>
      </c>
      <c r="E1" s="4" t="s">
        <v>86</v>
      </c>
      <c r="F1" s="4" t="s">
        <v>59</v>
      </c>
      <c r="G1" s="4" t="s">
        <v>87</v>
      </c>
      <c r="H1" s="4" t="s">
        <v>41</v>
      </c>
      <c r="I1" s="4" t="s">
        <v>26</v>
      </c>
      <c r="J1" s="4" t="s">
        <v>81</v>
      </c>
      <c r="K1" s="4" t="s">
        <v>88</v>
      </c>
      <c r="L1" s="4" t="s">
        <v>89</v>
      </c>
      <c r="M1" s="4" t="s">
        <v>90</v>
      </c>
      <c r="N1" s="4" t="s">
        <v>78</v>
      </c>
      <c r="O1" s="4" t="s">
        <v>79</v>
      </c>
      <c r="P1" s="4" t="s">
        <v>80</v>
      </c>
      <c r="Q1" s="4" t="s">
        <v>91</v>
      </c>
    </row>
    <row r="2" customFormat="false" ht="15" hidden="false" customHeight="false" outlineLevel="0" collapsed="false">
      <c r="A2" s="16" t="n">
        <v>17970</v>
      </c>
      <c r="B2" s="16" t="s">
        <v>92</v>
      </c>
      <c r="C2" s="16" t="s">
        <v>93</v>
      </c>
      <c r="D2" s="16" t="s">
        <v>22</v>
      </c>
      <c r="E2" s="16" t="s">
        <v>94</v>
      </c>
      <c r="F2" s="16" t="s">
        <v>95</v>
      </c>
      <c r="G2" s="16" t="s">
        <v>96</v>
      </c>
      <c r="H2" s="16" t="s">
        <v>46</v>
      </c>
      <c r="I2" s="16" t="s">
        <v>29</v>
      </c>
      <c r="J2" s="16" t="s">
        <v>97</v>
      </c>
      <c r="K2" s="16" t="n">
        <v>51.379997253418</v>
      </c>
      <c r="L2" s="16" t="n">
        <v>-0.406042069196701</v>
      </c>
      <c r="M2" s="16" t="s">
        <v>98</v>
      </c>
      <c r="N2" s="16" t="s">
        <v>99</v>
      </c>
      <c r="O2" s="16"/>
      <c r="P2" s="16"/>
      <c r="Q2" s="16" t="s">
        <v>100</v>
      </c>
    </row>
    <row r="3" customFormat="false" ht="15" hidden="false" customHeight="false" outlineLevel="0" collapsed="false">
      <c r="A3" s="16" t="n">
        <v>17981</v>
      </c>
      <c r="B3" s="16" t="s">
        <v>101</v>
      </c>
      <c r="C3" s="16" t="s">
        <v>102</v>
      </c>
      <c r="D3" s="16" t="s">
        <v>22</v>
      </c>
      <c r="E3" s="16" t="s">
        <v>94</v>
      </c>
      <c r="F3" s="16" t="s">
        <v>95</v>
      </c>
      <c r="G3" s="16" t="s">
        <v>103</v>
      </c>
      <c r="H3" s="16" t="s">
        <v>46</v>
      </c>
      <c r="I3" s="16" t="s">
        <v>29</v>
      </c>
      <c r="J3" s="16" t="s">
        <v>104</v>
      </c>
      <c r="K3" s="16" t="n">
        <v>51.3151321411133</v>
      </c>
      <c r="L3" s="16" t="n">
        <v>-0.556289494037628</v>
      </c>
      <c r="M3" s="16" t="s">
        <v>98</v>
      </c>
      <c r="N3" s="16" t="s">
        <v>105</v>
      </c>
      <c r="O3" s="16"/>
      <c r="P3" s="16"/>
      <c r="Q3" s="16" t="s">
        <v>100</v>
      </c>
    </row>
    <row r="4" customFormat="false" ht="15" hidden="false" customHeight="false" outlineLevel="0" collapsed="false">
      <c r="A4" s="16" t="n">
        <v>18102</v>
      </c>
      <c r="B4" s="16" t="s">
        <v>106</v>
      </c>
      <c r="C4" s="16" t="s">
        <v>107</v>
      </c>
      <c r="D4" s="16" t="s">
        <v>23</v>
      </c>
      <c r="E4" s="16" t="s">
        <v>94</v>
      </c>
      <c r="F4" s="16" t="s">
        <v>108</v>
      </c>
      <c r="G4" s="16" t="s">
        <v>109</v>
      </c>
      <c r="H4" s="16" t="s">
        <v>56</v>
      </c>
      <c r="I4" s="16" t="s">
        <v>30</v>
      </c>
      <c r="J4" s="16" t="s">
        <v>110</v>
      </c>
      <c r="K4" s="16" t="n">
        <v>51.4371948242188</v>
      </c>
      <c r="L4" s="16" t="n">
        <v>-2.84719276428223</v>
      </c>
      <c r="M4" s="16" t="s">
        <v>98</v>
      </c>
      <c r="N4" s="16" t="s">
        <v>111</v>
      </c>
      <c r="O4" s="16"/>
      <c r="P4" s="16" t="s">
        <v>112</v>
      </c>
      <c r="Q4" s="16" t="s">
        <v>100</v>
      </c>
    </row>
    <row r="5" customFormat="false" ht="15" hidden="false" customHeight="false" outlineLevel="0" collapsed="false">
      <c r="A5" s="16" t="n">
        <v>18138</v>
      </c>
      <c r="B5" s="16" t="s">
        <v>113</v>
      </c>
      <c r="C5" s="16" t="s">
        <v>114</v>
      </c>
      <c r="D5" s="16" t="s">
        <v>22</v>
      </c>
      <c r="E5" s="16" t="s">
        <v>94</v>
      </c>
      <c r="F5" s="16" t="s">
        <v>115</v>
      </c>
      <c r="G5" s="16" t="s">
        <v>116</v>
      </c>
      <c r="H5" s="16" t="s">
        <v>117</v>
      </c>
      <c r="I5" s="16" t="s">
        <v>31</v>
      </c>
      <c r="J5" s="16" t="s">
        <v>118</v>
      </c>
      <c r="K5" s="16" t="n">
        <v>53.4597434997559</v>
      </c>
      <c r="L5" s="16" t="n">
        <v>-2.24546885490418</v>
      </c>
      <c r="M5" s="16" t="s">
        <v>100</v>
      </c>
      <c r="N5" s="16" t="s">
        <v>119</v>
      </c>
      <c r="O5" s="16"/>
      <c r="P5" s="16" t="s">
        <v>120</v>
      </c>
      <c r="Q5" s="16" t="s">
        <v>100</v>
      </c>
    </row>
    <row r="6" customFormat="false" ht="15" hidden="false" customHeight="false" outlineLevel="0" collapsed="false">
      <c r="A6" s="16" t="n">
        <v>18142</v>
      </c>
      <c r="B6" s="16" t="s">
        <v>121</v>
      </c>
      <c r="C6" s="16" t="s">
        <v>122</v>
      </c>
      <c r="D6" s="16" t="s">
        <v>22</v>
      </c>
      <c r="E6" s="16" t="s">
        <v>94</v>
      </c>
      <c r="F6" s="16" t="s">
        <v>123</v>
      </c>
      <c r="G6" s="16" t="s">
        <v>124</v>
      </c>
      <c r="H6" s="16" t="s">
        <v>57</v>
      </c>
      <c r="I6" s="16" t="s">
        <v>32</v>
      </c>
      <c r="J6" s="16" t="s">
        <v>125</v>
      </c>
      <c r="K6" s="16" t="n">
        <v>52.0781211853027</v>
      </c>
      <c r="L6" s="16" t="n">
        <v>-0.0306040551513433</v>
      </c>
      <c r="M6" s="16" t="s">
        <v>98</v>
      </c>
      <c r="N6" s="16" t="s">
        <v>126</v>
      </c>
      <c r="O6" s="16" t="s">
        <v>127</v>
      </c>
      <c r="P6" s="16" t="s">
        <v>128</v>
      </c>
      <c r="Q6" s="16" t="s">
        <v>100</v>
      </c>
    </row>
    <row r="7" customFormat="false" ht="15" hidden="false" customHeight="false" outlineLevel="0" collapsed="false">
      <c r="A7" s="16" t="n">
        <v>18143</v>
      </c>
      <c r="B7" s="16" t="s">
        <v>129</v>
      </c>
      <c r="C7" s="16" t="s">
        <v>130</v>
      </c>
      <c r="D7" s="16" t="s">
        <v>22</v>
      </c>
      <c r="E7" s="16" t="s">
        <v>94</v>
      </c>
      <c r="F7" s="16" t="s">
        <v>123</v>
      </c>
      <c r="G7" s="16" t="s">
        <v>131</v>
      </c>
      <c r="H7" s="16" t="s">
        <v>54</v>
      </c>
      <c r="I7" s="16" t="s">
        <v>35</v>
      </c>
      <c r="J7" s="16" t="s">
        <v>132</v>
      </c>
      <c r="K7" s="16" t="n">
        <v>53.9954032897949</v>
      </c>
      <c r="L7" s="16" t="n">
        <v>-1.00255262851715</v>
      </c>
      <c r="M7" s="16" t="s">
        <v>98</v>
      </c>
      <c r="N7" s="16" t="s">
        <v>133</v>
      </c>
      <c r="O7" s="16" t="s">
        <v>134</v>
      </c>
      <c r="P7" s="16" t="s">
        <v>135</v>
      </c>
      <c r="Q7" s="16" t="s">
        <v>100</v>
      </c>
    </row>
    <row r="8" customFormat="false" ht="15" hidden="false" customHeight="false" outlineLevel="0" collapsed="false">
      <c r="A8" s="16" t="n">
        <v>18271</v>
      </c>
      <c r="B8" s="16" t="s">
        <v>136</v>
      </c>
      <c r="C8" s="16" t="s">
        <v>137</v>
      </c>
      <c r="D8" s="16" t="s">
        <v>22</v>
      </c>
      <c r="E8" s="16" t="s">
        <v>94</v>
      </c>
      <c r="F8" s="16" t="s">
        <v>138</v>
      </c>
      <c r="G8" s="16" t="s">
        <v>139</v>
      </c>
      <c r="H8" s="16" t="s">
        <v>49</v>
      </c>
      <c r="I8" s="16" t="s">
        <v>32</v>
      </c>
      <c r="J8" s="16" t="s">
        <v>140</v>
      </c>
      <c r="K8" s="16" t="n">
        <v>51.9346961975098</v>
      </c>
      <c r="L8" s="16" t="n">
        <v>1.26144409179688</v>
      </c>
      <c r="M8" s="16" t="s">
        <v>98</v>
      </c>
      <c r="N8" s="16" t="s">
        <v>141</v>
      </c>
      <c r="O8" s="16"/>
      <c r="P8" s="16"/>
      <c r="Q8" s="16" t="s">
        <v>100</v>
      </c>
    </row>
    <row r="9" customFormat="false" ht="15" hidden="false" customHeight="false" outlineLevel="0" collapsed="false">
      <c r="A9" s="16" t="n">
        <v>18272</v>
      </c>
      <c r="B9" s="16" t="s">
        <v>142</v>
      </c>
      <c r="C9" s="16" t="s">
        <v>143</v>
      </c>
      <c r="D9" s="16" t="s">
        <v>22</v>
      </c>
      <c r="E9" s="16" t="s">
        <v>94</v>
      </c>
      <c r="F9" s="16" t="s">
        <v>138</v>
      </c>
      <c r="G9" s="16" t="s">
        <v>144</v>
      </c>
      <c r="H9" s="16" t="s">
        <v>49</v>
      </c>
      <c r="I9" s="16" t="s">
        <v>32</v>
      </c>
      <c r="J9" s="16" t="s">
        <v>145</v>
      </c>
      <c r="K9" s="16" t="n">
        <v>51.7860794067383</v>
      </c>
      <c r="L9" s="16" t="n">
        <v>1.14818751811981</v>
      </c>
      <c r="M9" s="16" t="s">
        <v>98</v>
      </c>
      <c r="N9" s="16" t="s">
        <v>146</v>
      </c>
      <c r="O9" s="16"/>
      <c r="P9" s="16" t="s">
        <v>147</v>
      </c>
      <c r="Q9" s="16" t="s">
        <v>100</v>
      </c>
    </row>
    <row r="10" customFormat="false" ht="15" hidden="false" customHeight="false" outlineLevel="0" collapsed="false">
      <c r="A10" s="16" t="n">
        <v>18289</v>
      </c>
      <c r="B10" s="16" t="s">
        <v>148</v>
      </c>
      <c r="C10" s="16" t="s">
        <v>149</v>
      </c>
      <c r="D10" s="16" t="s">
        <v>22</v>
      </c>
      <c r="E10" s="16" t="s">
        <v>94</v>
      </c>
      <c r="F10" s="16" t="s">
        <v>150</v>
      </c>
      <c r="G10" s="16" t="s">
        <v>151</v>
      </c>
      <c r="H10" s="16" t="s">
        <v>152</v>
      </c>
      <c r="I10" s="16" t="s">
        <v>32</v>
      </c>
      <c r="J10" s="16" t="s">
        <v>153</v>
      </c>
      <c r="K10" s="16" t="n">
        <v>52.1983261108398</v>
      </c>
      <c r="L10" s="16" t="n">
        <v>-0.310280710458756</v>
      </c>
      <c r="M10" s="16" t="s">
        <v>100</v>
      </c>
      <c r="N10" s="16"/>
      <c r="O10" s="16"/>
      <c r="P10" s="16"/>
      <c r="Q10" s="16" t="s">
        <v>100</v>
      </c>
    </row>
    <row r="11" customFormat="false" ht="15" hidden="false" customHeight="false" outlineLevel="0" collapsed="false">
      <c r="A11" s="16" t="n">
        <v>18305</v>
      </c>
      <c r="B11" s="16" t="s">
        <v>154</v>
      </c>
      <c r="C11" s="16" t="s">
        <v>155</v>
      </c>
      <c r="D11" s="16" t="s">
        <v>22</v>
      </c>
      <c r="E11" s="16" t="s">
        <v>94</v>
      </c>
      <c r="F11" s="16" t="s">
        <v>155</v>
      </c>
      <c r="G11" s="16" t="s">
        <v>156</v>
      </c>
      <c r="H11" s="16" t="s">
        <v>157</v>
      </c>
      <c r="I11" s="16" t="s">
        <v>32</v>
      </c>
      <c r="J11" s="16" t="s">
        <v>158</v>
      </c>
      <c r="K11" s="16" t="n">
        <v>52.6049423217773</v>
      </c>
      <c r="L11" s="16" t="n">
        <v>-0.283021807670593</v>
      </c>
      <c r="M11" s="16" t="s">
        <v>98</v>
      </c>
      <c r="N11" s="16" t="s">
        <v>159</v>
      </c>
      <c r="O11" s="16" t="s">
        <v>160</v>
      </c>
      <c r="P11" s="16"/>
      <c r="Q11" s="16" t="s">
        <v>100</v>
      </c>
    </row>
    <row r="12" customFormat="false" ht="15" hidden="false" customHeight="false" outlineLevel="0" collapsed="false">
      <c r="A12" s="16" t="n">
        <v>18314</v>
      </c>
      <c r="B12" s="16" t="s">
        <v>161</v>
      </c>
      <c r="C12" s="16" t="s">
        <v>162</v>
      </c>
      <c r="D12" s="16" t="s">
        <v>22</v>
      </c>
      <c r="E12" s="16" t="s">
        <v>94</v>
      </c>
      <c r="F12" s="16" t="s">
        <v>163</v>
      </c>
      <c r="G12" s="16" t="s">
        <v>164</v>
      </c>
      <c r="H12" s="16" t="s">
        <v>48</v>
      </c>
      <c r="I12" s="16" t="s">
        <v>30</v>
      </c>
      <c r="J12" s="16" t="s">
        <v>165</v>
      </c>
      <c r="K12" s="16" t="n">
        <v>50.3894844055176</v>
      </c>
      <c r="L12" s="16" t="n">
        <v>-3.95966005325317</v>
      </c>
      <c r="M12" s="16" t="s">
        <v>98</v>
      </c>
      <c r="N12" s="16" t="s">
        <v>166</v>
      </c>
      <c r="O12" s="16"/>
      <c r="P12" s="16"/>
      <c r="Q12" s="16" t="s">
        <v>100</v>
      </c>
    </row>
    <row r="13" customFormat="false" ht="15" hidden="false" customHeight="false" outlineLevel="0" collapsed="false">
      <c r="A13" s="16" t="n">
        <v>18317</v>
      </c>
      <c r="B13" s="16" t="s">
        <v>167</v>
      </c>
      <c r="C13" s="16" t="s">
        <v>168</v>
      </c>
      <c r="D13" s="16" t="s">
        <v>22</v>
      </c>
      <c r="E13" s="16" t="s">
        <v>94</v>
      </c>
      <c r="F13" s="16" t="s">
        <v>163</v>
      </c>
      <c r="G13" s="16" t="s">
        <v>164</v>
      </c>
      <c r="H13" s="16" t="s">
        <v>48</v>
      </c>
      <c r="I13" s="16" t="s">
        <v>30</v>
      </c>
      <c r="J13" s="16" t="s">
        <v>169</v>
      </c>
      <c r="K13" s="16" t="n">
        <v>50.3784027099609</v>
      </c>
      <c r="L13" s="16" t="n">
        <v>-4.1127405166626</v>
      </c>
      <c r="M13" s="16" t="s">
        <v>98</v>
      </c>
      <c r="N13" s="16" t="s">
        <v>170</v>
      </c>
      <c r="O13" s="16"/>
      <c r="P13" s="16" t="s">
        <v>171</v>
      </c>
      <c r="Q13" s="16" t="s">
        <v>100</v>
      </c>
    </row>
    <row r="14" customFormat="false" ht="15" hidden="false" customHeight="false" outlineLevel="0" collapsed="false">
      <c r="A14" s="16" t="n">
        <v>18351</v>
      </c>
      <c r="B14" s="16" t="s">
        <v>172</v>
      </c>
      <c r="C14" s="16" t="s">
        <v>173</v>
      </c>
      <c r="D14" s="16" t="s">
        <v>22</v>
      </c>
      <c r="E14" s="16" t="s">
        <v>94</v>
      </c>
      <c r="F14" s="16" t="s">
        <v>64</v>
      </c>
      <c r="G14" s="16" t="s">
        <v>174</v>
      </c>
      <c r="H14" s="16" t="s">
        <v>53</v>
      </c>
      <c r="I14" s="16" t="s">
        <v>30</v>
      </c>
      <c r="J14" s="16" t="s">
        <v>175</v>
      </c>
      <c r="K14" s="16" t="n">
        <v>50.7297554016113</v>
      </c>
      <c r="L14" s="16" t="n">
        <v>-1.86978089809418</v>
      </c>
      <c r="M14" s="16" t="s">
        <v>98</v>
      </c>
      <c r="N14" s="16" t="s">
        <v>176</v>
      </c>
      <c r="O14" s="16" t="s">
        <v>177</v>
      </c>
      <c r="P14" s="16" t="s">
        <v>178</v>
      </c>
      <c r="Q14" s="16" t="s">
        <v>100</v>
      </c>
    </row>
    <row r="15" customFormat="false" ht="15" hidden="false" customHeight="false" outlineLevel="0" collapsed="false">
      <c r="A15" s="16" t="n">
        <v>18352</v>
      </c>
      <c r="B15" s="16" t="s">
        <v>179</v>
      </c>
      <c r="C15" s="16" t="s">
        <v>180</v>
      </c>
      <c r="D15" s="16" t="s">
        <v>22</v>
      </c>
      <c r="E15" s="16" t="s">
        <v>94</v>
      </c>
      <c r="F15" s="16" t="s">
        <v>64</v>
      </c>
      <c r="G15" s="16" t="s">
        <v>181</v>
      </c>
      <c r="H15" s="16" t="s">
        <v>49</v>
      </c>
      <c r="I15" s="16" t="s">
        <v>32</v>
      </c>
      <c r="J15" s="16" t="s">
        <v>182</v>
      </c>
      <c r="K15" s="16" t="n">
        <v>51.6233329772949</v>
      </c>
      <c r="L15" s="16" t="n">
        <v>0.312835305929184</v>
      </c>
      <c r="M15" s="16" t="s">
        <v>98</v>
      </c>
      <c r="N15" s="16" t="s">
        <v>176</v>
      </c>
      <c r="O15" s="16" t="s">
        <v>177</v>
      </c>
      <c r="P15" s="16" t="s">
        <v>183</v>
      </c>
      <c r="Q15" s="16" t="s">
        <v>100</v>
      </c>
    </row>
    <row r="16" customFormat="false" ht="15" hidden="false" customHeight="false" outlineLevel="0" collapsed="false">
      <c r="A16" s="16" t="n">
        <v>18353</v>
      </c>
      <c r="B16" s="16" t="s">
        <v>184</v>
      </c>
      <c r="C16" s="16" t="s">
        <v>185</v>
      </c>
      <c r="D16" s="16" t="s">
        <v>22</v>
      </c>
      <c r="E16" s="16" t="s">
        <v>94</v>
      </c>
      <c r="F16" s="16" t="s">
        <v>64</v>
      </c>
      <c r="G16" s="16" t="s">
        <v>186</v>
      </c>
      <c r="H16" s="16" t="s">
        <v>187</v>
      </c>
      <c r="I16" s="16" t="s">
        <v>29</v>
      </c>
      <c r="J16" s="16" t="s">
        <v>188</v>
      </c>
      <c r="K16" s="16" t="n">
        <v>50.8345184326172</v>
      </c>
      <c r="L16" s="16" t="n">
        <v>-0.0819105133414268</v>
      </c>
      <c r="M16" s="16" t="s">
        <v>98</v>
      </c>
      <c r="N16" s="16" t="s">
        <v>176</v>
      </c>
      <c r="O16" s="16" t="s">
        <v>177</v>
      </c>
      <c r="P16" s="16" t="s">
        <v>189</v>
      </c>
      <c r="Q16" s="16" t="s">
        <v>100</v>
      </c>
    </row>
    <row r="17" customFormat="false" ht="15" hidden="false" customHeight="false" outlineLevel="0" collapsed="false">
      <c r="A17" s="16" t="n">
        <v>18354</v>
      </c>
      <c r="B17" s="16" t="s">
        <v>190</v>
      </c>
      <c r="C17" s="16" t="s">
        <v>191</v>
      </c>
      <c r="D17" s="16" t="s">
        <v>22</v>
      </c>
      <c r="E17" s="16" t="s">
        <v>94</v>
      </c>
      <c r="F17" s="16" t="s">
        <v>64</v>
      </c>
      <c r="G17" s="16" t="s">
        <v>192</v>
      </c>
      <c r="H17" s="16" t="s">
        <v>56</v>
      </c>
      <c r="I17" s="16" t="s">
        <v>30</v>
      </c>
      <c r="J17" s="16" t="s">
        <v>193</v>
      </c>
      <c r="K17" s="16" t="n">
        <v>51.4536094665527</v>
      </c>
      <c r="L17" s="16" t="n">
        <v>-2.61598443984985</v>
      </c>
      <c r="M17" s="16" t="s">
        <v>98</v>
      </c>
      <c r="N17" s="16" t="s">
        <v>176</v>
      </c>
      <c r="O17" s="16" t="s">
        <v>177</v>
      </c>
      <c r="P17" s="16" t="s">
        <v>194</v>
      </c>
      <c r="Q17" s="16" t="s">
        <v>100</v>
      </c>
    </row>
    <row r="18" customFormat="false" ht="15" hidden="false" customHeight="false" outlineLevel="0" collapsed="false">
      <c r="A18" s="16" t="n">
        <v>18356</v>
      </c>
      <c r="B18" s="16" t="s">
        <v>195</v>
      </c>
      <c r="C18" s="16" t="s">
        <v>196</v>
      </c>
      <c r="D18" s="16" t="s">
        <v>22</v>
      </c>
      <c r="E18" s="16" t="s">
        <v>94</v>
      </c>
      <c r="F18" s="16" t="s">
        <v>64</v>
      </c>
      <c r="G18" s="16" t="s">
        <v>197</v>
      </c>
      <c r="H18" s="16" t="s">
        <v>157</v>
      </c>
      <c r="I18" s="16" t="s">
        <v>32</v>
      </c>
      <c r="J18" s="16" t="s">
        <v>198</v>
      </c>
      <c r="K18" s="16" t="n">
        <v>52.1903533935547</v>
      </c>
      <c r="L18" s="16" t="n">
        <v>0.123558595776558</v>
      </c>
      <c r="M18" s="16" t="s">
        <v>98</v>
      </c>
      <c r="N18" s="16" t="s">
        <v>176</v>
      </c>
      <c r="O18" s="16" t="s">
        <v>177</v>
      </c>
      <c r="P18" s="16" t="s">
        <v>199</v>
      </c>
      <c r="Q18" s="16" t="s">
        <v>100</v>
      </c>
    </row>
    <row r="19" customFormat="false" ht="15" hidden="false" customHeight="false" outlineLevel="0" collapsed="false">
      <c r="A19" s="16" t="n">
        <v>18357</v>
      </c>
      <c r="B19" s="16" t="s">
        <v>200</v>
      </c>
      <c r="C19" s="16" t="s">
        <v>201</v>
      </c>
      <c r="D19" s="16" t="s">
        <v>22</v>
      </c>
      <c r="E19" s="16" t="s">
        <v>94</v>
      </c>
      <c r="F19" s="16" t="s">
        <v>64</v>
      </c>
      <c r="G19" s="16" t="s">
        <v>202</v>
      </c>
      <c r="H19" s="16" t="s">
        <v>55</v>
      </c>
      <c r="I19" s="16" t="s">
        <v>31</v>
      </c>
      <c r="J19" s="16" t="s">
        <v>203</v>
      </c>
      <c r="K19" s="16" t="n">
        <v>53.1763458251953</v>
      </c>
      <c r="L19" s="16" t="n">
        <v>-2.89524674415588</v>
      </c>
      <c r="M19" s="16" t="s">
        <v>98</v>
      </c>
      <c r="N19" s="16" t="s">
        <v>176</v>
      </c>
      <c r="O19" s="16" t="s">
        <v>177</v>
      </c>
      <c r="P19" s="16" t="s">
        <v>204</v>
      </c>
      <c r="Q19" s="16" t="s">
        <v>100</v>
      </c>
    </row>
    <row r="20" customFormat="false" ht="15" hidden="false" customHeight="false" outlineLevel="0" collapsed="false">
      <c r="A20" s="16" t="n">
        <v>18358</v>
      </c>
      <c r="B20" s="16" t="s">
        <v>205</v>
      </c>
      <c r="C20" s="16" t="s">
        <v>206</v>
      </c>
      <c r="D20" s="16" t="s">
        <v>22</v>
      </c>
      <c r="E20" s="16" t="s">
        <v>94</v>
      </c>
      <c r="F20" s="16" t="s">
        <v>64</v>
      </c>
      <c r="G20" s="16" t="s">
        <v>207</v>
      </c>
      <c r="H20" s="16" t="s">
        <v>208</v>
      </c>
      <c r="I20" s="16" t="s">
        <v>30</v>
      </c>
      <c r="J20" s="16" t="s">
        <v>209</v>
      </c>
      <c r="K20" s="16" t="n">
        <v>51.8919296264649</v>
      </c>
      <c r="L20" s="16" t="n">
        <v>-2.12990546226501</v>
      </c>
      <c r="M20" s="16" t="s">
        <v>98</v>
      </c>
      <c r="N20" s="16" t="s">
        <v>176</v>
      </c>
      <c r="O20" s="16" t="s">
        <v>177</v>
      </c>
      <c r="P20" s="16" t="s">
        <v>210</v>
      </c>
      <c r="Q20" s="16" t="s">
        <v>100</v>
      </c>
    </row>
    <row r="21" customFormat="false" ht="15" hidden="false" customHeight="false" outlineLevel="0" collapsed="false">
      <c r="A21" s="16" t="n">
        <v>18359</v>
      </c>
      <c r="B21" s="16" t="s">
        <v>211</v>
      </c>
      <c r="C21" s="16" t="s">
        <v>212</v>
      </c>
      <c r="D21" s="16" t="s">
        <v>22</v>
      </c>
      <c r="E21" s="16" t="s">
        <v>94</v>
      </c>
      <c r="F21" s="16" t="s">
        <v>64</v>
      </c>
      <c r="G21" s="16" t="s">
        <v>213</v>
      </c>
      <c r="H21" s="16" t="s">
        <v>214</v>
      </c>
      <c r="I21" s="16" t="s">
        <v>29</v>
      </c>
      <c r="J21" s="16" t="s">
        <v>215</v>
      </c>
      <c r="K21" s="16" t="n">
        <v>50.8479804992676</v>
      </c>
      <c r="L21" s="16" t="n">
        <v>-0.780013144016266</v>
      </c>
      <c r="M21" s="16" t="s">
        <v>98</v>
      </c>
      <c r="N21" s="16" t="s">
        <v>176</v>
      </c>
      <c r="O21" s="16" t="s">
        <v>177</v>
      </c>
      <c r="P21" s="16" t="s">
        <v>216</v>
      </c>
      <c r="Q21" s="16" t="s">
        <v>100</v>
      </c>
    </row>
    <row r="22" customFormat="false" ht="15" hidden="false" customHeight="false" outlineLevel="0" collapsed="false">
      <c r="A22" s="16" t="n">
        <v>18360</v>
      </c>
      <c r="B22" s="16" t="s">
        <v>217</v>
      </c>
      <c r="C22" s="16" t="s">
        <v>218</v>
      </c>
      <c r="D22" s="16" t="s">
        <v>22</v>
      </c>
      <c r="E22" s="16" t="s">
        <v>94</v>
      </c>
      <c r="F22" s="16" t="s">
        <v>64</v>
      </c>
      <c r="G22" s="16" t="s">
        <v>219</v>
      </c>
      <c r="H22" s="16" t="s">
        <v>220</v>
      </c>
      <c r="I22" s="16" t="s">
        <v>36</v>
      </c>
      <c r="J22" s="16" t="s">
        <v>221</v>
      </c>
      <c r="K22" s="16" t="n">
        <v>52.8935508728027</v>
      </c>
      <c r="L22" s="16" t="n">
        <v>-1.53015518188477</v>
      </c>
      <c r="M22" s="16" t="s">
        <v>98</v>
      </c>
      <c r="N22" s="16" t="s">
        <v>176</v>
      </c>
      <c r="O22" s="16" t="s">
        <v>177</v>
      </c>
      <c r="P22" s="16" t="s">
        <v>222</v>
      </c>
      <c r="Q22" s="16" t="s">
        <v>100</v>
      </c>
    </row>
    <row r="23" customFormat="false" ht="15" hidden="false" customHeight="false" outlineLevel="0" collapsed="false">
      <c r="A23" s="16" t="n">
        <v>18361</v>
      </c>
      <c r="B23" s="16" t="s">
        <v>223</v>
      </c>
      <c r="C23" s="16" t="s">
        <v>224</v>
      </c>
      <c r="D23" s="16" t="s">
        <v>22</v>
      </c>
      <c r="E23" s="16" t="s">
        <v>94</v>
      </c>
      <c r="F23" s="16" t="s">
        <v>64</v>
      </c>
      <c r="G23" s="16" t="s">
        <v>225</v>
      </c>
      <c r="H23" s="16" t="s">
        <v>51</v>
      </c>
      <c r="I23" s="16" t="s">
        <v>29</v>
      </c>
      <c r="J23" s="16" t="s">
        <v>226</v>
      </c>
      <c r="K23" s="16" t="n">
        <v>50.9969749450684</v>
      </c>
      <c r="L23" s="16" t="n">
        <v>-1.35935091972351</v>
      </c>
      <c r="M23" s="16" t="s">
        <v>98</v>
      </c>
      <c r="N23" s="16" t="s">
        <v>176</v>
      </c>
      <c r="O23" s="16" t="s">
        <v>177</v>
      </c>
      <c r="P23" s="16" t="s">
        <v>227</v>
      </c>
      <c r="Q23" s="16" t="s">
        <v>100</v>
      </c>
    </row>
    <row r="24" customFormat="false" ht="15" hidden="false" customHeight="false" outlineLevel="0" collapsed="false">
      <c r="A24" s="16" t="n">
        <v>18362</v>
      </c>
      <c r="B24" s="16" t="s">
        <v>228</v>
      </c>
      <c r="C24" s="16" t="s">
        <v>229</v>
      </c>
      <c r="D24" s="16" t="s">
        <v>22</v>
      </c>
      <c r="E24" s="16" t="s">
        <v>94</v>
      </c>
      <c r="F24" s="16" t="s">
        <v>64</v>
      </c>
      <c r="G24" s="16" t="s">
        <v>230</v>
      </c>
      <c r="H24" s="16" t="s">
        <v>48</v>
      </c>
      <c r="I24" s="16" t="s">
        <v>30</v>
      </c>
      <c r="J24" s="16" t="s">
        <v>231</v>
      </c>
      <c r="K24" s="16" t="n">
        <v>50.7163162231445</v>
      </c>
      <c r="L24" s="16" t="n">
        <v>-3.51127171516419</v>
      </c>
      <c r="M24" s="16" t="s">
        <v>98</v>
      </c>
      <c r="N24" s="16" t="s">
        <v>176</v>
      </c>
      <c r="O24" s="16" t="s">
        <v>177</v>
      </c>
      <c r="P24" s="16" t="s">
        <v>232</v>
      </c>
      <c r="Q24" s="16" t="s">
        <v>100</v>
      </c>
    </row>
    <row r="25" customFormat="false" ht="15" hidden="false" customHeight="false" outlineLevel="0" collapsed="false">
      <c r="A25" s="16" t="n">
        <v>18363</v>
      </c>
      <c r="B25" s="16" t="s">
        <v>233</v>
      </c>
      <c r="C25" s="16" t="s">
        <v>234</v>
      </c>
      <c r="D25" s="16" t="s">
        <v>22</v>
      </c>
      <c r="E25" s="16" t="s">
        <v>94</v>
      </c>
      <c r="F25" s="16" t="s">
        <v>64</v>
      </c>
      <c r="G25" s="16" t="s">
        <v>235</v>
      </c>
      <c r="H25" s="16" t="s">
        <v>46</v>
      </c>
      <c r="I25" s="16" t="s">
        <v>29</v>
      </c>
      <c r="J25" s="16" t="s">
        <v>236</v>
      </c>
      <c r="K25" s="16" t="n">
        <v>51.2416534423828</v>
      </c>
      <c r="L25" s="16" t="n">
        <v>-0.61254358291626</v>
      </c>
      <c r="M25" s="16" t="s">
        <v>98</v>
      </c>
      <c r="N25" s="16" t="s">
        <v>237</v>
      </c>
      <c r="O25" s="16"/>
      <c r="P25" s="16" t="s">
        <v>238</v>
      </c>
      <c r="Q25" s="16" t="s">
        <v>100</v>
      </c>
    </row>
    <row r="26" customFormat="false" ht="15" hidden="false" customHeight="false" outlineLevel="0" collapsed="false">
      <c r="A26" s="16" t="n">
        <v>18365</v>
      </c>
      <c r="B26" s="16" t="s">
        <v>239</v>
      </c>
      <c r="C26" s="16" t="s">
        <v>240</v>
      </c>
      <c r="D26" s="16" t="s">
        <v>22</v>
      </c>
      <c r="E26" s="16" t="s">
        <v>94</v>
      </c>
      <c r="F26" s="16" t="s">
        <v>64</v>
      </c>
      <c r="G26" s="16" t="s">
        <v>241</v>
      </c>
      <c r="H26" s="16" t="s">
        <v>214</v>
      </c>
      <c r="I26" s="16" t="s">
        <v>29</v>
      </c>
      <c r="J26" s="16" t="s">
        <v>242</v>
      </c>
      <c r="K26" s="16" t="n">
        <v>51.0084037780762</v>
      </c>
      <c r="L26" s="16" t="n">
        <v>-0.106121420860291</v>
      </c>
      <c r="M26" s="16" t="s">
        <v>98</v>
      </c>
      <c r="N26" s="16" t="s">
        <v>176</v>
      </c>
      <c r="O26" s="16" t="s">
        <v>177</v>
      </c>
      <c r="P26" s="16" t="s">
        <v>243</v>
      </c>
      <c r="Q26" s="16" t="s">
        <v>100</v>
      </c>
    </row>
    <row r="27" customFormat="false" ht="15" hidden="false" customHeight="false" outlineLevel="0" collapsed="false">
      <c r="A27" s="16" t="n">
        <v>18366</v>
      </c>
      <c r="B27" s="16" t="s">
        <v>244</v>
      </c>
      <c r="C27" s="16" t="s">
        <v>245</v>
      </c>
      <c r="D27" s="16" t="s">
        <v>22</v>
      </c>
      <c r="E27" s="16" t="s">
        <v>94</v>
      </c>
      <c r="F27" s="16" t="s">
        <v>64</v>
      </c>
      <c r="G27" s="16" t="s">
        <v>246</v>
      </c>
      <c r="H27" s="16" t="s">
        <v>247</v>
      </c>
      <c r="I27" s="16" t="s">
        <v>34</v>
      </c>
      <c r="J27" s="16" t="s">
        <v>248</v>
      </c>
      <c r="K27" s="16" t="n">
        <v>52.0639381408691</v>
      </c>
      <c r="L27" s="16" t="n">
        <v>-2.69995450973511</v>
      </c>
      <c r="M27" s="16" t="s">
        <v>98</v>
      </c>
      <c r="N27" s="16" t="s">
        <v>249</v>
      </c>
      <c r="O27" s="16" t="s">
        <v>177</v>
      </c>
      <c r="P27" s="16" t="s">
        <v>250</v>
      </c>
      <c r="Q27" s="16" t="s">
        <v>100</v>
      </c>
    </row>
    <row r="28" customFormat="false" ht="15" hidden="false" customHeight="false" outlineLevel="0" collapsed="false">
      <c r="A28" s="16" t="n">
        <v>18367</v>
      </c>
      <c r="B28" s="16" t="s">
        <v>251</v>
      </c>
      <c r="C28" s="16" t="s">
        <v>252</v>
      </c>
      <c r="D28" s="16" t="s">
        <v>22</v>
      </c>
      <c r="E28" s="16" t="s">
        <v>94</v>
      </c>
      <c r="F28" s="16" t="s">
        <v>64</v>
      </c>
      <c r="G28" s="16" t="s">
        <v>253</v>
      </c>
      <c r="H28" s="16" t="s">
        <v>254</v>
      </c>
      <c r="I28" s="16" t="s">
        <v>32</v>
      </c>
      <c r="J28" s="16" t="s">
        <v>255</v>
      </c>
      <c r="K28" s="16" t="n">
        <v>52.0475196838379</v>
      </c>
      <c r="L28" s="16" t="n">
        <v>1.22894585132599</v>
      </c>
      <c r="M28" s="16" t="s">
        <v>98</v>
      </c>
      <c r="N28" s="16" t="s">
        <v>176</v>
      </c>
      <c r="O28" s="16" t="s">
        <v>177</v>
      </c>
      <c r="P28" s="16" t="s">
        <v>256</v>
      </c>
      <c r="Q28" s="16" t="s">
        <v>100</v>
      </c>
    </row>
    <row r="29" customFormat="false" ht="15" hidden="false" customHeight="false" outlineLevel="0" collapsed="false">
      <c r="A29" s="16" t="n">
        <v>18368</v>
      </c>
      <c r="B29" s="16" t="s">
        <v>257</v>
      </c>
      <c r="C29" s="16" t="s">
        <v>258</v>
      </c>
      <c r="D29" s="16" t="s">
        <v>22</v>
      </c>
      <c r="E29" s="16" t="s">
        <v>94</v>
      </c>
      <c r="F29" s="16" t="s">
        <v>64</v>
      </c>
      <c r="G29" s="16" t="s">
        <v>259</v>
      </c>
      <c r="H29" s="16" t="s">
        <v>260</v>
      </c>
      <c r="I29" s="16" t="s">
        <v>34</v>
      </c>
      <c r="J29" s="16" t="s">
        <v>261</v>
      </c>
      <c r="K29" s="16" t="n">
        <v>52.3084983825684</v>
      </c>
      <c r="L29" s="16" t="n">
        <v>-1.54386508464813</v>
      </c>
      <c r="M29" s="16" t="s">
        <v>98</v>
      </c>
      <c r="N29" s="16" t="s">
        <v>176</v>
      </c>
      <c r="O29" s="16" t="s">
        <v>177</v>
      </c>
      <c r="P29" s="16" t="s">
        <v>262</v>
      </c>
      <c r="Q29" s="16" t="s">
        <v>100</v>
      </c>
    </row>
    <row r="30" customFormat="false" ht="15" hidden="false" customHeight="false" outlineLevel="0" collapsed="false">
      <c r="A30" s="16" t="n">
        <v>18369</v>
      </c>
      <c r="B30" s="16" t="s">
        <v>263</v>
      </c>
      <c r="C30" s="16" t="s">
        <v>264</v>
      </c>
      <c r="D30" s="16" t="s">
        <v>22</v>
      </c>
      <c r="E30" s="16" t="s">
        <v>94</v>
      </c>
      <c r="F30" s="16" t="s">
        <v>64</v>
      </c>
      <c r="G30" s="16" t="s">
        <v>265</v>
      </c>
      <c r="H30" s="16" t="s">
        <v>50</v>
      </c>
      <c r="I30" s="16" t="s">
        <v>35</v>
      </c>
      <c r="J30" s="16" t="s">
        <v>266</v>
      </c>
      <c r="K30" s="16" t="n">
        <v>53.8006591796875</v>
      </c>
      <c r="L30" s="16" t="n">
        <v>-1.5542573928833</v>
      </c>
      <c r="M30" s="16" t="s">
        <v>98</v>
      </c>
      <c r="N30" s="16" t="s">
        <v>267</v>
      </c>
      <c r="O30" s="16" t="s">
        <v>268</v>
      </c>
      <c r="P30" s="16" t="s">
        <v>269</v>
      </c>
      <c r="Q30" s="16" t="s">
        <v>100</v>
      </c>
    </row>
    <row r="31" customFormat="false" ht="15" hidden="false" customHeight="false" outlineLevel="0" collapsed="false">
      <c r="A31" s="16" t="n">
        <v>18370</v>
      </c>
      <c r="B31" s="16" t="s">
        <v>270</v>
      </c>
      <c r="C31" s="16" t="s">
        <v>271</v>
      </c>
      <c r="D31" s="16" t="s">
        <v>22</v>
      </c>
      <c r="E31" s="16" t="s">
        <v>94</v>
      </c>
      <c r="F31" s="16" t="s">
        <v>64</v>
      </c>
      <c r="G31" s="16" t="s">
        <v>272</v>
      </c>
      <c r="H31" s="16" t="s">
        <v>273</v>
      </c>
      <c r="I31" s="16" t="s">
        <v>36</v>
      </c>
      <c r="J31" s="16" t="s">
        <v>274</v>
      </c>
      <c r="K31" s="16" t="n">
        <v>52.6442565917969</v>
      </c>
      <c r="L31" s="16" t="n">
        <v>-1.07129549980164</v>
      </c>
      <c r="M31" s="16" t="s">
        <v>98</v>
      </c>
      <c r="N31" s="16" t="s">
        <v>176</v>
      </c>
      <c r="O31" s="16" t="s">
        <v>177</v>
      </c>
      <c r="P31" s="16" t="s">
        <v>275</v>
      </c>
      <c r="Q31" s="16" t="s">
        <v>100</v>
      </c>
    </row>
    <row r="32" customFormat="false" ht="15" hidden="false" customHeight="false" outlineLevel="0" collapsed="false">
      <c r="A32" s="16" t="n">
        <v>18371</v>
      </c>
      <c r="B32" s="16" t="s">
        <v>276</v>
      </c>
      <c r="C32" s="16" t="s">
        <v>277</v>
      </c>
      <c r="D32" s="16" t="s">
        <v>22</v>
      </c>
      <c r="E32" s="16" t="s">
        <v>94</v>
      </c>
      <c r="F32" s="16" t="s">
        <v>64</v>
      </c>
      <c r="G32" s="16" t="s">
        <v>278</v>
      </c>
      <c r="H32" s="16" t="s">
        <v>279</v>
      </c>
      <c r="I32" s="16" t="s">
        <v>37</v>
      </c>
      <c r="J32" s="16" t="s">
        <v>280</v>
      </c>
      <c r="K32" s="16" t="n">
        <v>54.9866142272949</v>
      </c>
      <c r="L32" s="16" t="n">
        <v>-1.6052770614624</v>
      </c>
      <c r="M32" s="16" t="s">
        <v>98</v>
      </c>
      <c r="N32" s="16" t="s">
        <v>176</v>
      </c>
      <c r="O32" s="16" t="s">
        <v>177</v>
      </c>
      <c r="P32" s="16" t="s">
        <v>281</v>
      </c>
      <c r="Q32" s="16" t="s">
        <v>100</v>
      </c>
    </row>
    <row r="33" customFormat="false" ht="15" hidden="false" customHeight="false" outlineLevel="0" collapsed="false">
      <c r="A33" s="16" t="n">
        <v>18372</v>
      </c>
      <c r="B33" s="16" t="s">
        <v>282</v>
      </c>
      <c r="C33" s="16" t="s">
        <v>283</v>
      </c>
      <c r="D33" s="16" t="s">
        <v>22</v>
      </c>
      <c r="E33" s="16" t="s">
        <v>94</v>
      </c>
      <c r="F33" s="16" t="s">
        <v>64</v>
      </c>
      <c r="G33" s="16" t="s">
        <v>284</v>
      </c>
      <c r="H33" s="16" t="s">
        <v>285</v>
      </c>
      <c r="I33" s="16" t="s">
        <v>34</v>
      </c>
      <c r="J33" s="16" t="s">
        <v>286</v>
      </c>
      <c r="K33" s="16" t="n">
        <v>52.9874076843262</v>
      </c>
      <c r="L33" s="16" t="n">
        <v>-2.22302770614624</v>
      </c>
      <c r="M33" s="16" t="s">
        <v>98</v>
      </c>
      <c r="N33" s="16" t="s">
        <v>287</v>
      </c>
      <c r="O33" s="16" t="s">
        <v>288</v>
      </c>
      <c r="P33" s="16" t="s">
        <v>289</v>
      </c>
      <c r="Q33" s="16" t="s">
        <v>100</v>
      </c>
    </row>
    <row r="34" customFormat="false" ht="15" hidden="false" customHeight="false" outlineLevel="0" collapsed="false">
      <c r="A34" s="16" t="n">
        <v>18373</v>
      </c>
      <c r="B34" s="16" t="s">
        <v>290</v>
      </c>
      <c r="C34" s="16" t="s">
        <v>291</v>
      </c>
      <c r="D34" s="16" t="s">
        <v>22</v>
      </c>
      <c r="E34" s="16" t="s">
        <v>94</v>
      </c>
      <c r="F34" s="16" t="s">
        <v>64</v>
      </c>
      <c r="G34" s="16" t="s">
        <v>164</v>
      </c>
      <c r="H34" s="16" t="s">
        <v>48</v>
      </c>
      <c r="I34" s="16" t="s">
        <v>30</v>
      </c>
      <c r="J34" s="16" t="s">
        <v>292</v>
      </c>
      <c r="K34" s="16" t="n">
        <v>50.4186744689941</v>
      </c>
      <c r="L34" s="16" t="n">
        <v>-4.11444807052612</v>
      </c>
      <c r="M34" s="16" t="s">
        <v>98</v>
      </c>
      <c r="N34" s="16" t="s">
        <v>176</v>
      </c>
      <c r="O34" s="16" t="s">
        <v>177</v>
      </c>
      <c r="P34" s="16" t="s">
        <v>293</v>
      </c>
      <c r="Q34" s="16" t="s">
        <v>100</v>
      </c>
    </row>
    <row r="35" customFormat="false" ht="15" hidden="false" customHeight="false" outlineLevel="0" collapsed="false">
      <c r="A35" s="16" t="n">
        <v>18374</v>
      </c>
      <c r="B35" s="16" t="s">
        <v>294</v>
      </c>
      <c r="C35" s="16" t="s">
        <v>295</v>
      </c>
      <c r="D35" s="16" t="s">
        <v>22</v>
      </c>
      <c r="E35" s="16" t="s">
        <v>94</v>
      </c>
      <c r="F35" s="16" t="s">
        <v>64</v>
      </c>
      <c r="G35" s="16" t="s">
        <v>296</v>
      </c>
      <c r="H35" s="16" t="s">
        <v>297</v>
      </c>
      <c r="I35" s="16" t="s">
        <v>34</v>
      </c>
      <c r="J35" s="16" t="s">
        <v>298</v>
      </c>
      <c r="K35" s="16" t="n">
        <v>52.6922569274902</v>
      </c>
      <c r="L35" s="16" t="n">
        <v>-2.77144050598145</v>
      </c>
      <c r="M35" s="16" t="s">
        <v>98</v>
      </c>
      <c r="N35" s="16" t="s">
        <v>176</v>
      </c>
      <c r="O35" s="16" t="s">
        <v>177</v>
      </c>
      <c r="P35" s="16" t="s">
        <v>299</v>
      </c>
      <c r="Q35" s="16" t="s">
        <v>100</v>
      </c>
    </row>
    <row r="36" customFormat="false" ht="15" hidden="false" customHeight="false" outlineLevel="0" collapsed="false">
      <c r="A36" s="16" t="n">
        <v>18375</v>
      </c>
      <c r="B36" s="16" t="s">
        <v>300</v>
      </c>
      <c r="C36" s="16" t="s">
        <v>301</v>
      </c>
      <c r="D36" s="16" t="s">
        <v>22</v>
      </c>
      <c r="E36" s="16" t="s">
        <v>94</v>
      </c>
      <c r="F36" s="16" t="s">
        <v>64</v>
      </c>
      <c r="G36" s="16" t="s">
        <v>302</v>
      </c>
      <c r="H36" s="16" t="s">
        <v>303</v>
      </c>
      <c r="I36" s="16" t="s">
        <v>37</v>
      </c>
      <c r="J36" s="16" t="s">
        <v>304</v>
      </c>
      <c r="K36" s="16" t="n">
        <v>54.5934257507324</v>
      </c>
      <c r="L36" s="16" t="n">
        <v>-1.33521854877472</v>
      </c>
      <c r="M36" s="16" t="s">
        <v>98</v>
      </c>
      <c r="N36" s="16" t="s">
        <v>176</v>
      </c>
      <c r="O36" s="16" t="s">
        <v>305</v>
      </c>
      <c r="P36" s="16" t="s">
        <v>306</v>
      </c>
      <c r="Q36" s="16" t="s">
        <v>100</v>
      </c>
    </row>
    <row r="37" customFormat="false" ht="15" hidden="false" customHeight="false" outlineLevel="0" collapsed="false">
      <c r="A37" s="16" t="n">
        <v>18376</v>
      </c>
      <c r="B37" s="16" t="s">
        <v>307</v>
      </c>
      <c r="C37" s="16" t="s">
        <v>308</v>
      </c>
      <c r="D37" s="16" t="s">
        <v>22</v>
      </c>
      <c r="E37" s="16" t="s">
        <v>94</v>
      </c>
      <c r="F37" s="16" t="s">
        <v>64</v>
      </c>
      <c r="G37" s="16" t="s">
        <v>309</v>
      </c>
      <c r="H37" s="16" t="s">
        <v>310</v>
      </c>
      <c r="I37" s="16" t="s">
        <v>30</v>
      </c>
      <c r="J37" s="16" t="s">
        <v>311</v>
      </c>
      <c r="K37" s="16" t="n">
        <v>51.0298461914063</v>
      </c>
      <c r="L37" s="16" t="n">
        <v>-3.12689781188965</v>
      </c>
      <c r="M37" s="16" t="s">
        <v>98</v>
      </c>
      <c r="N37" s="16" t="s">
        <v>176</v>
      </c>
      <c r="O37" s="16" t="s">
        <v>177</v>
      </c>
      <c r="P37" s="16" t="s">
        <v>312</v>
      </c>
      <c r="Q37" s="16" t="s">
        <v>100</v>
      </c>
    </row>
    <row r="38" customFormat="false" ht="15" hidden="false" customHeight="false" outlineLevel="0" collapsed="false">
      <c r="A38" s="16" t="n">
        <v>18377</v>
      </c>
      <c r="B38" s="16" t="s">
        <v>313</v>
      </c>
      <c r="C38" s="16" t="s">
        <v>314</v>
      </c>
      <c r="D38" s="16" t="s">
        <v>22</v>
      </c>
      <c r="E38" s="16" t="s">
        <v>94</v>
      </c>
      <c r="F38" s="16" t="s">
        <v>64</v>
      </c>
      <c r="G38" s="16" t="s">
        <v>315</v>
      </c>
      <c r="H38" s="16" t="s">
        <v>45</v>
      </c>
      <c r="I38" s="16" t="s">
        <v>29</v>
      </c>
      <c r="J38" s="16" t="s">
        <v>316</v>
      </c>
      <c r="K38" s="16" t="n">
        <v>51.131519317627</v>
      </c>
      <c r="L38" s="16" t="n">
        <v>0.278053015470505</v>
      </c>
      <c r="M38" s="16" t="s">
        <v>98</v>
      </c>
      <c r="N38" s="16" t="s">
        <v>176</v>
      </c>
      <c r="O38" s="16" t="s">
        <v>177</v>
      </c>
      <c r="P38" s="16" t="s">
        <v>317</v>
      </c>
      <c r="Q38" s="16" t="s">
        <v>100</v>
      </c>
    </row>
    <row r="39" customFormat="false" ht="15" hidden="false" customHeight="false" outlineLevel="0" collapsed="false">
      <c r="A39" s="16" t="n">
        <v>18378</v>
      </c>
      <c r="B39" s="16" t="s">
        <v>318</v>
      </c>
      <c r="C39" s="16" t="s">
        <v>319</v>
      </c>
      <c r="D39" s="16" t="s">
        <v>22</v>
      </c>
      <c r="E39" s="16" t="s">
        <v>94</v>
      </c>
      <c r="F39" s="16" t="s">
        <v>64</v>
      </c>
      <c r="G39" s="16" t="s">
        <v>103</v>
      </c>
      <c r="H39" s="16" t="s">
        <v>46</v>
      </c>
      <c r="I39" s="16" t="s">
        <v>29</v>
      </c>
      <c r="J39" s="16" t="s">
        <v>320</v>
      </c>
      <c r="K39" s="16" t="n">
        <v>51.3322105407715</v>
      </c>
      <c r="L39" s="16" t="n">
        <v>-0.561365902423859</v>
      </c>
      <c r="M39" s="16" t="s">
        <v>98</v>
      </c>
      <c r="N39" s="16" t="s">
        <v>176</v>
      </c>
      <c r="O39" s="16" t="s">
        <v>177</v>
      </c>
      <c r="P39" s="16" t="s">
        <v>321</v>
      </c>
      <c r="Q39" s="16" t="s">
        <v>100</v>
      </c>
    </row>
    <row r="40" customFormat="false" ht="15" hidden="false" customHeight="false" outlineLevel="0" collapsed="false">
      <c r="A40" s="16" t="n">
        <v>18379</v>
      </c>
      <c r="B40" s="16" t="s">
        <v>322</v>
      </c>
      <c r="C40" s="16" t="s">
        <v>323</v>
      </c>
      <c r="D40" s="16" t="s">
        <v>22</v>
      </c>
      <c r="E40" s="16" t="s">
        <v>94</v>
      </c>
      <c r="F40" s="16" t="s">
        <v>64</v>
      </c>
      <c r="G40" s="16" t="s">
        <v>324</v>
      </c>
      <c r="H40" s="16" t="s">
        <v>34</v>
      </c>
      <c r="I40" s="16" t="s">
        <v>34</v>
      </c>
      <c r="J40" s="16" t="s">
        <v>325</v>
      </c>
      <c r="K40" s="16" t="n">
        <v>52.5934638977051</v>
      </c>
      <c r="L40" s="16" t="n">
        <v>-2.17152237892151</v>
      </c>
      <c r="M40" s="16" t="s">
        <v>98</v>
      </c>
      <c r="N40" s="16" t="s">
        <v>176</v>
      </c>
      <c r="O40" s="16" t="s">
        <v>177</v>
      </c>
      <c r="P40" s="16" t="s">
        <v>326</v>
      </c>
      <c r="Q40" s="16" t="s">
        <v>100</v>
      </c>
    </row>
    <row r="41" customFormat="false" ht="15" hidden="false" customHeight="false" outlineLevel="0" collapsed="false">
      <c r="A41" s="16" t="n">
        <v>18380</v>
      </c>
      <c r="B41" s="16" t="s">
        <v>327</v>
      </c>
      <c r="C41" s="16" t="s">
        <v>328</v>
      </c>
      <c r="D41" s="16" t="s">
        <v>22</v>
      </c>
      <c r="E41" s="16" t="s">
        <v>94</v>
      </c>
      <c r="F41" s="16" t="s">
        <v>64</v>
      </c>
      <c r="G41" s="16" t="s">
        <v>329</v>
      </c>
      <c r="H41" s="16" t="s">
        <v>330</v>
      </c>
      <c r="I41" s="16" t="s">
        <v>29</v>
      </c>
      <c r="J41" s="16" t="s">
        <v>331</v>
      </c>
      <c r="K41" s="16" t="n">
        <v>51.7604446411133</v>
      </c>
      <c r="L41" s="16" t="n">
        <v>-1.21551871299744</v>
      </c>
      <c r="M41" s="16" t="s">
        <v>98</v>
      </c>
      <c r="N41" s="16" t="s">
        <v>176</v>
      </c>
      <c r="O41" s="16" t="s">
        <v>177</v>
      </c>
      <c r="P41" s="16" t="s">
        <v>332</v>
      </c>
      <c r="Q41" s="16" t="s">
        <v>100</v>
      </c>
    </row>
    <row r="42" customFormat="false" ht="15" hidden="false" customHeight="false" outlineLevel="0" collapsed="false">
      <c r="A42" s="16" t="n">
        <v>18381</v>
      </c>
      <c r="B42" s="16" t="s">
        <v>333</v>
      </c>
      <c r="C42" s="16" t="s">
        <v>334</v>
      </c>
      <c r="D42" s="16" t="s">
        <v>22</v>
      </c>
      <c r="E42" s="16" t="s">
        <v>94</v>
      </c>
      <c r="F42" s="16" t="s">
        <v>64</v>
      </c>
      <c r="G42" s="16" t="s">
        <v>131</v>
      </c>
      <c r="H42" s="16" t="s">
        <v>54</v>
      </c>
      <c r="I42" s="16" t="s">
        <v>35</v>
      </c>
      <c r="J42" s="16" t="s">
        <v>335</v>
      </c>
      <c r="K42" s="16" t="n">
        <v>53.9747009277344</v>
      </c>
      <c r="L42" s="16" t="n">
        <v>-1.07555985450745</v>
      </c>
      <c r="M42" s="16" t="s">
        <v>98</v>
      </c>
      <c r="N42" s="16" t="s">
        <v>176</v>
      </c>
      <c r="O42" s="16" t="s">
        <v>177</v>
      </c>
      <c r="P42" s="16" t="s">
        <v>336</v>
      </c>
      <c r="Q42" s="16" t="s">
        <v>100</v>
      </c>
    </row>
    <row r="43" customFormat="false" ht="15" hidden="false" customHeight="false" outlineLevel="0" collapsed="false">
      <c r="A43" s="16" t="n">
        <v>18385</v>
      </c>
      <c r="B43" s="16" t="s">
        <v>337</v>
      </c>
      <c r="C43" s="16" t="s">
        <v>338</v>
      </c>
      <c r="D43" s="16" t="s">
        <v>22</v>
      </c>
      <c r="E43" s="16" t="s">
        <v>94</v>
      </c>
      <c r="F43" s="16" t="s">
        <v>62</v>
      </c>
      <c r="G43" s="16" t="s">
        <v>339</v>
      </c>
      <c r="H43" s="16" t="s">
        <v>340</v>
      </c>
      <c r="I43" s="16" t="s">
        <v>34</v>
      </c>
      <c r="J43" s="16" t="s">
        <v>341</v>
      </c>
      <c r="K43" s="16" t="n">
        <v>52.1810874938965</v>
      </c>
      <c r="L43" s="16" t="n">
        <v>-2.21623229980469</v>
      </c>
      <c r="M43" s="16" t="s">
        <v>98</v>
      </c>
      <c r="N43" s="16" t="s">
        <v>342</v>
      </c>
      <c r="O43" s="16" t="s">
        <v>343</v>
      </c>
      <c r="P43" s="16" t="s">
        <v>344</v>
      </c>
      <c r="Q43" s="16" t="s">
        <v>100</v>
      </c>
    </row>
    <row r="44" customFormat="false" ht="15" hidden="false" customHeight="false" outlineLevel="0" collapsed="false">
      <c r="A44" s="16" t="n">
        <v>18386</v>
      </c>
      <c r="B44" s="16" t="s">
        <v>345</v>
      </c>
      <c r="C44" s="16" t="s">
        <v>346</v>
      </c>
      <c r="D44" s="16" t="s">
        <v>22</v>
      </c>
      <c r="E44" s="16" t="s">
        <v>94</v>
      </c>
      <c r="F44" s="16" t="s">
        <v>62</v>
      </c>
      <c r="G44" s="16" t="s">
        <v>192</v>
      </c>
      <c r="H44" s="16" t="s">
        <v>56</v>
      </c>
      <c r="I44" s="16" t="s">
        <v>30</v>
      </c>
      <c r="J44" s="16" t="s">
        <v>347</v>
      </c>
      <c r="K44" s="16" t="n">
        <v>51.4720497131348</v>
      </c>
      <c r="L44" s="16" t="n">
        <v>-2.61485075950623</v>
      </c>
      <c r="M44" s="16" t="s">
        <v>98</v>
      </c>
      <c r="N44" s="16" t="s">
        <v>348</v>
      </c>
      <c r="O44" s="16" t="s">
        <v>349</v>
      </c>
      <c r="P44" s="16" t="s">
        <v>350</v>
      </c>
      <c r="Q44" s="16" t="s">
        <v>100</v>
      </c>
    </row>
    <row r="45" customFormat="false" ht="15" hidden="false" customHeight="false" outlineLevel="0" collapsed="false">
      <c r="A45" s="16" t="n">
        <v>18388</v>
      </c>
      <c r="B45" s="16" t="s">
        <v>351</v>
      </c>
      <c r="C45" s="16" t="s">
        <v>352</v>
      </c>
      <c r="D45" s="16" t="s">
        <v>22</v>
      </c>
      <c r="E45" s="16" t="s">
        <v>94</v>
      </c>
      <c r="F45" s="16" t="s">
        <v>62</v>
      </c>
      <c r="G45" s="16" t="s">
        <v>353</v>
      </c>
      <c r="H45" s="16" t="s">
        <v>51</v>
      </c>
      <c r="I45" s="16" t="s">
        <v>29</v>
      </c>
      <c r="J45" s="16" t="s">
        <v>354</v>
      </c>
      <c r="K45" s="16" t="n">
        <v>50.9306106567383</v>
      </c>
      <c r="L45" s="16" t="n">
        <v>-1.43271434307098</v>
      </c>
      <c r="M45" s="16" t="s">
        <v>98</v>
      </c>
      <c r="N45" s="16" t="s">
        <v>355</v>
      </c>
      <c r="O45" s="16" t="s">
        <v>356</v>
      </c>
      <c r="P45" s="16" t="s">
        <v>357</v>
      </c>
      <c r="Q45" s="16" t="s">
        <v>100</v>
      </c>
    </row>
    <row r="46" customFormat="false" ht="15" hidden="false" customHeight="false" outlineLevel="0" collapsed="false">
      <c r="A46" s="16" t="n">
        <v>18389</v>
      </c>
      <c r="B46" s="16" t="s">
        <v>358</v>
      </c>
      <c r="C46" s="16" t="s">
        <v>359</v>
      </c>
      <c r="D46" s="16" t="s">
        <v>22</v>
      </c>
      <c r="E46" s="16" t="s">
        <v>94</v>
      </c>
      <c r="F46" s="16" t="s">
        <v>62</v>
      </c>
      <c r="G46" s="16" t="s">
        <v>360</v>
      </c>
      <c r="H46" s="16" t="s">
        <v>51</v>
      </c>
      <c r="I46" s="16" t="s">
        <v>29</v>
      </c>
      <c r="J46" s="16" t="s">
        <v>361</v>
      </c>
      <c r="K46" s="16" t="n">
        <v>50.8685913085938</v>
      </c>
      <c r="L46" s="16" t="n">
        <v>-0.955126106739044</v>
      </c>
      <c r="M46" s="16" t="s">
        <v>98</v>
      </c>
      <c r="N46" s="16" t="s">
        <v>362</v>
      </c>
      <c r="O46" s="16" t="s">
        <v>363</v>
      </c>
      <c r="P46" s="16" t="s">
        <v>364</v>
      </c>
      <c r="Q46" s="16" t="s">
        <v>100</v>
      </c>
    </row>
    <row r="47" customFormat="false" ht="15" hidden="false" customHeight="false" outlineLevel="0" collapsed="false">
      <c r="A47" s="16" t="n">
        <v>18390</v>
      </c>
      <c r="B47" s="16" t="s">
        <v>365</v>
      </c>
      <c r="C47" s="16" t="s">
        <v>366</v>
      </c>
      <c r="D47" s="16" t="s">
        <v>22</v>
      </c>
      <c r="E47" s="16" t="s">
        <v>94</v>
      </c>
      <c r="F47" s="16" t="s">
        <v>62</v>
      </c>
      <c r="G47" s="16" t="s">
        <v>367</v>
      </c>
      <c r="H47" s="16" t="s">
        <v>46</v>
      </c>
      <c r="I47" s="16" t="s">
        <v>29</v>
      </c>
      <c r="J47" s="16" t="s">
        <v>368</v>
      </c>
      <c r="K47" s="16" t="n">
        <v>51.1676826477051</v>
      </c>
      <c r="L47" s="16" t="n">
        <v>-0.183382451534271</v>
      </c>
      <c r="M47" s="16" t="s">
        <v>98</v>
      </c>
      <c r="N47" s="16" t="s">
        <v>369</v>
      </c>
      <c r="O47" s="16" t="s">
        <v>370</v>
      </c>
      <c r="P47" s="16" t="s">
        <v>371</v>
      </c>
      <c r="Q47" s="16" t="s">
        <v>100</v>
      </c>
    </row>
    <row r="48" customFormat="false" ht="15" hidden="false" customHeight="false" outlineLevel="0" collapsed="false">
      <c r="A48" s="16" t="n">
        <v>18391</v>
      </c>
      <c r="B48" s="16" t="s">
        <v>372</v>
      </c>
      <c r="C48" s="16" t="s">
        <v>373</v>
      </c>
      <c r="D48" s="16" t="s">
        <v>22</v>
      </c>
      <c r="E48" s="16" t="s">
        <v>94</v>
      </c>
      <c r="F48" s="16" t="s">
        <v>62</v>
      </c>
      <c r="G48" s="16" t="s">
        <v>374</v>
      </c>
      <c r="H48" s="16" t="s">
        <v>187</v>
      </c>
      <c r="I48" s="16" t="s">
        <v>29</v>
      </c>
      <c r="J48" s="16" t="s">
        <v>375</v>
      </c>
      <c r="K48" s="16" t="n">
        <v>50.8853721618652</v>
      </c>
      <c r="L48" s="16" t="n">
        <v>0.567722082138062</v>
      </c>
      <c r="M48" s="16" t="s">
        <v>98</v>
      </c>
      <c r="N48" s="16" t="s">
        <v>376</v>
      </c>
      <c r="O48" s="16" t="s">
        <v>377</v>
      </c>
      <c r="P48" s="16" t="s">
        <v>378</v>
      </c>
      <c r="Q48" s="16" t="s">
        <v>100</v>
      </c>
    </row>
    <row r="49" customFormat="false" ht="15" hidden="false" customHeight="false" outlineLevel="0" collapsed="false">
      <c r="A49" s="16" t="n">
        <v>18392</v>
      </c>
      <c r="B49" s="16" t="s">
        <v>379</v>
      </c>
      <c r="C49" s="16" t="s">
        <v>380</v>
      </c>
      <c r="D49" s="16" t="s">
        <v>22</v>
      </c>
      <c r="E49" s="16" t="s">
        <v>94</v>
      </c>
      <c r="F49" s="16" t="s">
        <v>62</v>
      </c>
      <c r="G49" s="16" t="s">
        <v>315</v>
      </c>
      <c r="H49" s="16" t="s">
        <v>45</v>
      </c>
      <c r="I49" s="16" t="s">
        <v>29</v>
      </c>
      <c r="J49" s="16" t="s">
        <v>381</v>
      </c>
      <c r="K49" s="16" t="n">
        <v>51.1345138549805</v>
      </c>
      <c r="L49" s="16" t="n">
        <v>0.188159763813019</v>
      </c>
      <c r="M49" s="16" t="s">
        <v>98</v>
      </c>
      <c r="N49" s="16" t="s">
        <v>382</v>
      </c>
      <c r="O49" s="16" t="s">
        <v>383</v>
      </c>
      <c r="P49" s="16" t="s">
        <v>384</v>
      </c>
      <c r="Q49" s="16" t="s">
        <v>100</v>
      </c>
    </row>
    <row r="50" customFormat="false" ht="15" hidden="false" customHeight="false" outlineLevel="0" collapsed="false">
      <c r="A50" s="16" t="n">
        <v>18393</v>
      </c>
      <c r="B50" s="16" t="s">
        <v>385</v>
      </c>
      <c r="C50" s="16" t="s">
        <v>386</v>
      </c>
      <c r="D50" s="16" t="s">
        <v>22</v>
      </c>
      <c r="E50" s="16" t="s">
        <v>94</v>
      </c>
      <c r="F50" s="16" t="s">
        <v>62</v>
      </c>
      <c r="G50" s="16" t="s">
        <v>387</v>
      </c>
      <c r="H50" s="16" t="s">
        <v>45</v>
      </c>
      <c r="I50" s="16" t="s">
        <v>29</v>
      </c>
      <c r="J50" s="16" t="s">
        <v>388</v>
      </c>
      <c r="K50" s="16" t="n">
        <v>51.3279342651367</v>
      </c>
      <c r="L50" s="16" t="n">
        <v>0.526541173458099</v>
      </c>
      <c r="M50" s="16" t="s">
        <v>98</v>
      </c>
      <c r="N50" s="16" t="s">
        <v>389</v>
      </c>
      <c r="O50" s="16" t="s">
        <v>390</v>
      </c>
      <c r="P50" s="16" t="s">
        <v>391</v>
      </c>
      <c r="Q50" s="16" t="s">
        <v>100</v>
      </c>
    </row>
    <row r="51" customFormat="false" ht="15" hidden="false" customHeight="false" outlineLevel="0" collapsed="false">
      <c r="A51" s="16" t="n">
        <v>18394</v>
      </c>
      <c r="B51" s="16" t="s">
        <v>392</v>
      </c>
      <c r="C51" s="16" t="s">
        <v>393</v>
      </c>
      <c r="D51" s="16" t="s">
        <v>22</v>
      </c>
      <c r="E51" s="16" t="s">
        <v>94</v>
      </c>
      <c r="F51" s="16" t="s">
        <v>62</v>
      </c>
      <c r="G51" s="16" t="s">
        <v>394</v>
      </c>
      <c r="H51" s="16" t="s">
        <v>49</v>
      </c>
      <c r="I51" s="16" t="s">
        <v>32</v>
      </c>
      <c r="J51" s="16" t="s">
        <v>395</v>
      </c>
      <c r="K51" s="16" t="n">
        <v>51.5543937683106</v>
      </c>
      <c r="L51" s="16" t="n">
        <v>0.727603077888489</v>
      </c>
      <c r="M51" s="16" t="s">
        <v>98</v>
      </c>
      <c r="N51" s="16" t="s">
        <v>396</v>
      </c>
      <c r="O51" s="16" t="s">
        <v>397</v>
      </c>
      <c r="P51" s="16" t="s">
        <v>398</v>
      </c>
      <c r="Q51" s="16" t="s">
        <v>100</v>
      </c>
    </row>
    <row r="52" customFormat="false" ht="15" hidden="false" customHeight="false" outlineLevel="0" collapsed="false">
      <c r="A52" s="16" t="n">
        <v>18395</v>
      </c>
      <c r="B52" s="16" t="s">
        <v>399</v>
      </c>
      <c r="C52" s="16" t="s">
        <v>400</v>
      </c>
      <c r="D52" s="16" t="s">
        <v>22</v>
      </c>
      <c r="E52" s="16" t="s">
        <v>94</v>
      </c>
      <c r="F52" s="16" t="s">
        <v>62</v>
      </c>
      <c r="G52" s="16" t="s">
        <v>401</v>
      </c>
      <c r="H52" s="16" t="s">
        <v>49</v>
      </c>
      <c r="I52" s="16" t="s">
        <v>32</v>
      </c>
      <c r="J52" s="16" t="s">
        <v>402</v>
      </c>
      <c r="K52" s="16" t="n">
        <v>51.5871543884277</v>
      </c>
      <c r="L52" s="16" t="n">
        <v>0.0430779606103897</v>
      </c>
      <c r="M52" s="16" t="s">
        <v>98</v>
      </c>
      <c r="N52" s="16" t="s">
        <v>403</v>
      </c>
      <c r="O52" s="16" t="s">
        <v>404</v>
      </c>
      <c r="P52" s="16" t="s">
        <v>405</v>
      </c>
      <c r="Q52" s="16" t="s">
        <v>100</v>
      </c>
    </row>
    <row r="53" customFormat="false" ht="15" hidden="false" customHeight="false" outlineLevel="0" collapsed="false">
      <c r="A53" s="16" t="n">
        <v>18396</v>
      </c>
      <c r="B53" s="16" t="s">
        <v>406</v>
      </c>
      <c r="C53" s="16" t="s">
        <v>407</v>
      </c>
      <c r="D53" s="16" t="s">
        <v>22</v>
      </c>
      <c r="E53" s="16" t="s">
        <v>94</v>
      </c>
      <c r="F53" s="16" t="s">
        <v>62</v>
      </c>
      <c r="G53" s="16" t="s">
        <v>408</v>
      </c>
      <c r="H53" s="16" t="s">
        <v>57</v>
      </c>
      <c r="I53" s="16" t="s">
        <v>32</v>
      </c>
      <c r="J53" s="16" t="s">
        <v>409</v>
      </c>
      <c r="K53" s="16" t="n">
        <v>51.6373405456543</v>
      </c>
      <c r="L53" s="16" t="n">
        <v>-0.331717818975449</v>
      </c>
      <c r="M53" s="16" t="s">
        <v>98</v>
      </c>
      <c r="N53" s="16" t="s">
        <v>410</v>
      </c>
      <c r="O53" s="16" t="s">
        <v>411</v>
      </c>
      <c r="P53" s="16" t="s">
        <v>412</v>
      </c>
      <c r="Q53" s="16" t="s">
        <v>100</v>
      </c>
    </row>
    <row r="54" customFormat="false" ht="15" hidden="false" customHeight="false" outlineLevel="0" collapsed="false">
      <c r="A54" s="16" t="n">
        <v>18397</v>
      </c>
      <c r="B54" s="16" t="s">
        <v>413</v>
      </c>
      <c r="C54" s="16" t="s">
        <v>414</v>
      </c>
      <c r="D54" s="16" t="s">
        <v>22</v>
      </c>
      <c r="E54" s="16" t="s">
        <v>94</v>
      </c>
      <c r="F54" s="16" t="s">
        <v>62</v>
      </c>
      <c r="G54" s="16" t="s">
        <v>415</v>
      </c>
      <c r="H54" s="16" t="s">
        <v>57</v>
      </c>
      <c r="I54" s="16" t="s">
        <v>32</v>
      </c>
      <c r="J54" s="16" t="s">
        <v>416</v>
      </c>
      <c r="K54" s="16" t="n">
        <v>51.8281288146973</v>
      </c>
      <c r="L54" s="16" t="n">
        <v>-0.360377460718155</v>
      </c>
      <c r="M54" s="16" t="s">
        <v>98</v>
      </c>
      <c r="N54" s="16" t="s">
        <v>417</v>
      </c>
      <c r="O54" s="16" t="s">
        <v>418</v>
      </c>
      <c r="P54" s="16" t="s">
        <v>419</v>
      </c>
      <c r="Q54" s="16" t="s">
        <v>100</v>
      </c>
    </row>
    <row r="55" customFormat="false" ht="15" hidden="false" customHeight="false" outlineLevel="0" collapsed="false">
      <c r="A55" s="16" t="n">
        <v>18398</v>
      </c>
      <c r="B55" s="16" t="s">
        <v>420</v>
      </c>
      <c r="C55" s="16" t="s">
        <v>421</v>
      </c>
      <c r="D55" s="16" t="s">
        <v>22</v>
      </c>
      <c r="E55" s="16" t="s">
        <v>94</v>
      </c>
      <c r="F55" s="16" t="s">
        <v>62</v>
      </c>
      <c r="G55" s="16" t="s">
        <v>197</v>
      </c>
      <c r="H55" s="16" t="s">
        <v>157</v>
      </c>
      <c r="I55" s="16" t="s">
        <v>32</v>
      </c>
      <c r="J55" s="16" t="s">
        <v>422</v>
      </c>
      <c r="K55" s="16" t="n">
        <v>52.2447624206543</v>
      </c>
      <c r="L55" s="16" t="n">
        <v>0.113378502428532</v>
      </c>
      <c r="M55" s="16" t="s">
        <v>98</v>
      </c>
      <c r="N55" s="16" t="s">
        <v>423</v>
      </c>
      <c r="O55" s="16" t="s">
        <v>424</v>
      </c>
      <c r="P55" s="16" t="s">
        <v>425</v>
      </c>
      <c r="Q55" s="16" t="s">
        <v>100</v>
      </c>
    </row>
    <row r="56" customFormat="false" ht="15" hidden="false" customHeight="false" outlineLevel="0" collapsed="false">
      <c r="A56" s="16" t="n">
        <v>18399</v>
      </c>
      <c r="B56" s="16" t="s">
        <v>426</v>
      </c>
      <c r="C56" s="16" t="s">
        <v>427</v>
      </c>
      <c r="D56" s="16" t="s">
        <v>22</v>
      </c>
      <c r="E56" s="16" t="s">
        <v>94</v>
      </c>
      <c r="F56" s="16" t="s">
        <v>62</v>
      </c>
      <c r="G56" s="16" t="s">
        <v>428</v>
      </c>
      <c r="H56" s="16" t="s">
        <v>429</v>
      </c>
      <c r="I56" s="16" t="s">
        <v>32</v>
      </c>
      <c r="J56" s="16" t="s">
        <v>430</v>
      </c>
      <c r="K56" s="16" t="n">
        <v>52.6271209716797</v>
      </c>
      <c r="L56" s="16" t="n">
        <v>1.22576570510864</v>
      </c>
      <c r="M56" s="16" t="s">
        <v>98</v>
      </c>
      <c r="N56" s="16" t="s">
        <v>431</v>
      </c>
      <c r="O56" s="16" t="s">
        <v>432</v>
      </c>
      <c r="P56" s="16" t="s">
        <v>433</v>
      </c>
      <c r="Q56" s="16" t="s">
        <v>100</v>
      </c>
    </row>
    <row r="57" customFormat="false" ht="15" hidden="false" customHeight="false" outlineLevel="0" collapsed="false">
      <c r="A57" s="16" t="n">
        <v>18400</v>
      </c>
      <c r="B57" s="16" t="s">
        <v>434</v>
      </c>
      <c r="C57" s="16" t="s">
        <v>435</v>
      </c>
      <c r="D57" s="16" t="s">
        <v>22</v>
      </c>
      <c r="E57" s="16" t="s">
        <v>94</v>
      </c>
      <c r="F57" s="16" t="s">
        <v>62</v>
      </c>
      <c r="G57" s="16" t="s">
        <v>181</v>
      </c>
      <c r="H57" s="16" t="s">
        <v>49</v>
      </c>
      <c r="I57" s="16" t="s">
        <v>32</v>
      </c>
      <c r="J57" s="16" t="s">
        <v>436</v>
      </c>
      <c r="K57" s="16" t="n">
        <v>51.6004142761231</v>
      </c>
      <c r="L57" s="16" t="n">
        <v>0.293041914701462</v>
      </c>
      <c r="M57" s="16" t="s">
        <v>98</v>
      </c>
      <c r="N57" s="16" t="s">
        <v>437</v>
      </c>
      <c r="O57" s="16" t="s">
        <v>438</v>
      </c>
      <c r="P57" s="16" t="s">
        <v>439</v>
      </c>
      <c r="Q57" s="16" t="s">
        <v>100</v>
      </c>
    </row>
    <row r="58" customFormat="false" ht="15" hidden="false" customHeight="false" outlineLevel="0" collapsed="false">
      <c r="A58" s="16" t="n">
        <v>18401</v>
      </c>
      <c r="B58" s="16" t="s">
        <v>440</v>
      </c>
      <c r="C58" s="16" t="s">
        <v>441</v>
      </c>
      <c r="D58" s="16" t="s">
        <v>22</v>
      </c>
      <c r="E58" s="16" t="s">
        <v>94</v>
      </c>
      <c r="F58" s="16" t="s">
        <v>62</v>
      </c>
      <c r="G58" s="16" t="s">
        <v>442</v>
      </c>
      <c r="H58" s="16" t="s">
        <v>34</v>
      </c>
      <c r="I58" s="16" t="s">
        <v>34</v>
      </c>
      <c r="J58" s="16" t="s">
        <v>443</v>
      </c>
      <c r="K58" s="16" t="n">
        <v>52.4218864440918</v>
      </c>
      <c r="L58" s="16" t="n">
        <v>-1.76312160491943</v>
      </c>
      <c r="M58" s="16" t="s">
        <v>98</v>
      </c>
      <c r="N58" s="16" t="s">
        <v>444</v>
      </c>
      <c r="O58" s="16" t="s">
        <v>445</v>
      </c>
      <c r="P58" s="16" t="s">
        <v>446</v>
      </c>
      <c r="Q58" s="16" t="s">
        <v>100</v>
      </c>
    </row>
    <row r="59" customFormat="false" ht="15" hidden="false" customHeight="false" outlineLevel="0" collapsed="false">
      <c r="A59" s="16" t="n">
        <v>18402</v>
      </c>
      <c r="B59" s="16" t="s">
        <v>447</v>
      </c>
      <c r="C59" s="16" t="s">
        <v>448</v>
      </c>
      <c r="D59" s="16" t="s">
        <v>22</v>
      </c>
      <c r="E59" s="16" t="s">
        <v>94</v>
      </c>
      <c r="F59" s="16" t="s">
        <v>62</v>
      </c>
      <c r="G59" s="16" t="s">
        <v>449</v>
      </c>
      <c r="H59" s="16" t="s">
        <v>34</v>
      </c>
      <c r="I59" s="16" t="s">
        <v>34</v>
      </c>
      <c r="J59" s="16" t="s">
        <v>450</v>
      </c>
      <c r="K59" s="16" t="n">
        <v>52.599609375</v>
      </c>
      <c r="L59" s="16" t="n">
        <v>-1.87556886672974</v>
      </c>
      <c r="M59" s="16" t="s">
        <v>98</v>
      </c>
      <c r="N59" s="16" t="s">
        <v>451</v>
      </c>
      <c r="O59" s="16" t="s">
        <v>452</v>
      </c>
      <c r="P59" s="16" t="s">
        <v>453</v>
      </c>
      <c r="Q59" s="16" t="s">
        <v>100</v>
      </c>
    </row>
    <row r="60" customFormat="false" ht="15" hidden="false" customHeight="false" outlineLevel="0" collapsed="false">
      <c r="A60" s="16" t="n">
        <v>18403</v>
      </c>
      <c r="B60" s="16" t="s">
        <v>454</v>
      </c>
      <c r="C60" s="16" t="s">
        <v>455</v>
      </c>
      <c r="D60" s="16" t="s">
        <v>22</v>
      </c>
      <c r="E60" s="16" t="s">
        <v>94</v>
      </c>
      <c r="F60" s="16" t="s">
        <v>62</v>
      </c>
      <c r="G60" s="16" t="s">
        <v>272</v>
      </c>
      <c r="H60" s="16" t="s">
        <v>273</v>
      </c>
      <c r="I60" s="16" t="s">
        <v>36</v>
      </c>
      <c r="J60" s="16" t="s">
        <v>456</v>
      </c>
      <c r="K60" s="16" t="n">
        <v>52.6146659851074</v>
      </c>
      <c r="L60" s="16" t="n">
        <v>-1.08345675468445</v>
      </c>
      <c r="M60" s="16" t="s">
        <v>98</v>
      </c>
      <c r="N60" s="16" t="s">
        <v>457</v>
      </c>
      <c r="O60" s="16" t="s">
        <v>458</v>
      </c>
      <c r="P60" s="16" t="s">
        <v>459</v>
      </c>
      <c r="Q60" s="16" t="s">
        <v>100</v>
      </c>
    </row>
    <row r="61" customFormat="false" ht="15" hidden="false" customHeight="false" outlineLevel="0" collapsed="false">
      <c r="A61" s="16" t="n">
        <v>18404</v>
      </c>
      <c r="B61" s="16" t="s">
        <v>460</v>
      </c>
      <c r="C61" s="16" t="s">
        <v>461</v>
      </c>
      <c r="D61" s="16" t="s">
        <v>22</v>
      </c>
      <c r="E61" s="16" t="s">
        <v>94</v>
      </c>
      <c r="F61" s="16" t="s">
        <v>62</v>
      </c>
      <c r="G61" s="16" t="s">
        <v>462</v>
      </c>
      <c r="H61" s="16" t="s">
        <v>55</v>
      </c>
      <c r="I61" s="16" t="s">
        <v>31</v>
      </c>
      <c r="J61" s="16" t="s">
        <v>463</v>
      </c>
      <c r="K61" s="16" t="n">
        <v>53.3374748229981</v>
      </c>
      <c r="L61" s="16" t="n">
        <v>-2.57632970809937</v>
      </c>
      <c r="M61" s="16" t="s">
        <v>98</v>
      </c>
      <c r="N61" s="16" t="s">
        <v>464</v>
      </c>
      <c r="O61" s="16" t="s">
        <v>465</v>
      </c>
      <c r="P61" s="16" t="s">
        <v>466</v>
      </c>
      <c r="Q61" s="16" t="s">
        <v>100</v>
      </c>
    </row>
    <row r="62" customFormat="false" ht="15" hidden="false" customHeight="false" outlineLevel="0" collapsed="false">
      <c r="A62" s="16" t="n">
        <v>18405</v>
      </c>
      <c r="B62" s="16" t="s">
        <v>467</v>
      </c>
      <c r="C62" s="16" t="s">
        <v>468</v>
      </c>
      <c r="D62" s="16" t="s">
        <v>22</v>
      </c>
      <c r="E62" s="16" t="s">
        <v>94</v>
      </c>
      <c r="F62" s="16" t="s">
        <v>62</v>
      </c>
      <c r="G62" s="16" t="s">
        <v>469</v>
      </c>
      <c r="H62" s="16" t="s">
        <v>52</v>
      </c>
      <c r="I62" s="16" t="s">
        <v>31</v>
      </c>
      <c r="J62" s="16" t="s">
        <v>470</v>
      </c>
      <c r="K62" s="16" t="n">
        <v>53.3492774963379</v>
      </c>
      <c r="L62" s="16" t="n">
        <v>-3.0800986289978</v>
      </c>
      <c r="M62" s="16" t="s">
        <v>98</v>
      </c>
      <c r="N62" s="16" t="s">
        <v>471</v>
      </c>
      <c r="O62" s="16" t="s">
        <v>472</v>
      </c>
      <c r="P62" s="16" t="s">
        <v>473</v>
      </c>
      <c r="Q62" s="16" t="s">
        <v>100</v>
      </c>
    </row>
    <row r="63" customFormat="false" ht="15" hidden="false" customHeight="false" outlineLevel="0" collapsed="false">
      <c r="A63" s="16" t="n">
        <v>18406</v>
      </c>
      <c r="B63" s="16" t="s">
        <v>474</v>
      </c>
      <c r="C63" s="16" t="s">
        <v>475</v>
      </c>
      <c r="D63" s="16" t="s">
        <v>22</v>
      </c>
      <c r="E63" s="16" t="s">
        <v>94</v>
      </c>
      <c r="F63" s="16" t="s">
        <v>62</v>
      </c>
      <c r="G63" s="16" t="s">
        <v>116</v>
      </c>
      <c r="H63" s="16" t="s">
        <v>117</v>
      </c>
      <c r="I63" s="16" t="s">
        <v>31</v>
      </c>
      <c r="J63" s="16" t="s">
        <v>476</v>
      </c>
      <c r="K63" s="16" t="n">
        <v>53.4252319335938</v>
      </c>
      <c r="L63" s="16" t="n">
        <v>-2.25366497039795</v>
      </c>
      <c r="M63" s="16" t="s">
        <v>98</v>
      </c>
      <c r="N63" s="16" t="s">
        <v>477</v>
      </c>
      <c r="O63" s="16" t="s">
        <v>478</v>
      </c>
      <c r="P63" s="16" t="s">
        <v>479</v>
      </c>
      <c r="Q63" s="16" t="s">
        <v>100</v>
      </c>
    </row>
    <row r="64" customFormat="false" ht="15" hidden="false" customHeight="false" outlineLevel="0" collapsed="false">
      <c r="A64" s="16" t="n">
        <v>18407</v>
      </c>
      <c r="B64" s="16" t="s">
        <v>480</v>
      </c>
      <c r="C64" s="16" t="s">
        <v>481</v>
      </c>
      <c r="D64" s="16" t="s">
        <v>22</v>
      </c>
      <c r="E64" s="16" t="s">
        <v>94</v>
      </c>
      <c r="F64" s="16" t="s">
        <v>62</v>
      </c>
      <c r="G64" s="16" t="s">
        <v>265</v>
      </c>
      <c r="H64" s="16" t="s">
        <v>50</v>
      </c>
      <c r="I64" s="16" t="s">
        <v>35</v>
      </c>
      <c r="J64" s="16" t="s">
        <v>482</v>
      </c>
      <c r="K64" s="16" t="n">
        <v>53.8324699401855</v>
      </c>
      <c r="L64" s="16" t="n">
        <v>-1.51391303539276</v>
      </c>
      <c r="M64" s="16" t="s">
        <v>98</v>
      </c>
      <c r="N64" s="16" t="s">
        <v>483</v>
      </c>
      <c r="O64" s="16" t="s">
        <v>484</v>
      </c>
      <c r="P64" s="16" t="s">
        <v>485</v>
      </c>
      <c r="Q64" s="16" t="s">
        <v>100</v>
      </c>
    </row>
    <row r="65" customFormat="false" ht="15" hidden="false" customHeight="false" outlineLevel="0" collapsed="false">
      <c r="A65" s="16" t="n">
        <v>18408</v>
      </c>
      <c r="B65" s="16" t="s">
        <v>486</v>
      </c>
      <c r="C65" s="16" t="s">
        <v>487</v>
      </c>
      <c r="D65" s="16" t="s">
        <v>22</v>
      </c>
      <c r="E65" s="16" t="s">
        <v>94</v>
      </c>
      <c r="F65" s="16" t="s">
        <v>62</v>
      </c>
      <c r="G65" s="16" t="s">
        <v>488</v>
      </c>
      <c r="H65" s="16" t="s">
        <v>279</v>
      </c>
      <c r="I65" s="16" t="s">
        <v>37</v>
      </c>
      <c r="J65" s="16" t="s">
        <v>489</v>
      </c>
      <c r="K65" s="16" t="n">
        <v>54.8793678283691</v>
      </c>
      <c r="L65" s="16" t="n">
        <v>-1.55910074710846</v>
      </c>
      <c r="M65" s="16" t="s">
        <v>98</v>
      </c>
      <c r="N65" s="16" t="s">
        <v>490</v>
      </c>
      <c r="O65" s="16" t="s">
        <v>491</v>
      </c>
      <c r="P65" s="16" t="s">
        <v>492</v>
      </c>
      <c r="Q65" s="16" t="s">
        <v>100</v>
      </c>
    </row>
    <row r="66" customFormat="false" ht="15" hidden="false" customHeight="false" outlineLevel="0" collapsed="false">
      <c r="A66" s="16" t="n">
        <v>18409</v>
      </c>
      <c r="B66" s="16" t="s">
        <v>493</v>
      </c>
      <c r="C66" s="16" t="s">
        <v>494</v>
      </c>
      <c r="D66" s="16" t="s">
        <v>22</v>
      </c>
      <c r="E66" s="16" t="s">
        <v>94</v>
      </c>
      <c r="F66" s="16" t="s">
        <v>62</v>
      </c>
      <c r="G66" s="16" t="s">
        <v>495</v>
      </c>
      <c r="H66" s="16" t="s">
        <v>52</v>
      </c>
      <c r="I66" s="16" t="s">
        <v>31</v>
      </c>
      <c r="J66" s="16" t="s">
        <v>496</v>
      </c>
      <c r="K66" s="16" t="n">
        <v>53.3852767944336</v>
      </c>
      <c r="L66" s="16" t="n">
        <v>-2.92410230636597</v>
      </c>
      <c r="M66" s="16" t="s">
        <v>98</v>
      </c>
      <c r="N66" s="16" t="s">
        <v>497</v>
      </c>
      <c r="O66" s="16" t="s">
        <v>498</v>
      </c>
      <c r="P66" s="16" t="s">
        <v>499</v>
      </c>
      <c r="Q66" s="16" t="s">
        <v>100</v>
      </c>
    </row>
    <row r="67" customFormat="false" ht="15" hidden="false" customHeight="false" outlineLevel="0" collapsed="false">
      <c r="A67" s="16" t="n">
        <v>18410</v>
      </c>
      <c r="B67" s="16" t="s">
        <v>500</v>
      </c>
      <c r="C67" s="16" t="s">
        <v>501</v>
      </c>
      <c r="D67" s="16" t="s">
        <v>22</v>
      </c>
      <c r="E67" s="16" t="s">
        <v>94</v>
      </c>
      <c r="F67" s="16" t="s">
        <v>62</v>
      </c>
      <c r="G67" s="16" t="s">
        <v>502</v>
      </c>
      <c r="H67" s="16" t="s">
        <v>55</v>
      </c>
      <c r="I67" s="16" t="s">
        <v>31</v>
      </c>
      <c r="J67" s="16" t="s">
        <v>503</v>
      </c>
      <c r="K67" s="16" t="n">
        <v>53.2601280212402</v>
      </c>
      <c r="L67" s="16" t="n">
        <v>-2.13779950141907</v>
      </c>
      <c r="M67" s="16" t="s">
        <v>98</v>
      </c>
      <c r="N67" s="16" t="s">
        <v>504</v>
      </c>
      <c r="O67" s="16" t="s">
        <v>505</v>
      </c>
      <c r="P67" s="16" t="s">
        <v>506</v>
      </c>
      <c r="Q67" s="16" t="s">
        <v>100</v>
      </c>
    </row>
    <row r="68" customFormat="false" ht="15" hidden="false" customHeight="false" outlineLevel="0" collapsed="false">
      <c r="A68" s="16" t="n">
        <v>18412</v>
      </c>
      <c r="B68" s="16" t="s">
        <v>507</v>
      </c>
      <c r="C68" s="16" t="s">
        <v>508</v>
      </c>
      <c r="D68" s="16" t="s">
        <v>22</v>
      </c>
      <c r="E68" s="16" t="s">
        <v>94</v>
      </c>
      <c r="F68" s="16" t="s">
        <v>62</v>
      </c>
      <c r="G68" s="16" t="s">
        <v>509</v>
      </c>
      <c r="H68" s="16" t="s">
        <v>510</v>
      </c>
      <c r="I68" s="16" t="s">
        <v>29</v>
      </c>
      <c r="J68" s="16" t="s">
        <v>511</v>
      </c>
      <c r="K68" s="16" t="n">
        <v>51.5427894592285</v>
      </c>
      <c r="L68" s="16" t="n">
        <v>-0.572400808334351</v>
      </c>
      <c r="M68" s="16" t="s">
        <v>98</v>
      </c>
      <c r="N68" s="16" t="s">
        <v>512</v>
      </c>
      <c r="O68" s="16" t="s">
        <v>513</v>
      </c>
      <c r="P68" s="16" t="s">
        <v>514</v>
      </c>
      <c r="Q68" s="16" t="s">
        <v>100</v>
      </c>
    </row>
    <row r="69" customFormat="false" ht="15" hidden="false" customHeight="false" outlineLevel="0" collapsed="false">
      <c r="A69" s="16" t="n">
        <v>18413</v>
      </c>
      <c r="B69" s="16" t="s">
        <v>515</v>
      </c>
      <c r="C69" s="16" t="s">
        <v>516</v>
      </c>
      <c r="D69" s="16" t="s">
        <v>22</v>
      </c>
      <c r="E69" s="16" t="s">
        <v>94</v>
      </c>
      <c r="F69" s="16" t="s">
        <v>62</v>
      </c>
      <c r="G69" s="16" t="s">
        <v>517</v>
      </c>
      <c r="H69" s="16" t="s">
        <v>510</v>
      </c>
      <c r="I69" s="16" t="s">
        <v>29</v>
      </c>
      <c r="J69" s="16" t="s">
        <v>518</v>
      </c>
      <c r="K69" s="16" t="n">
        <v>51.4502220153809</v>
      </c>
      <c r="L69" s="16" t="n">
        <v>-0.986806392669678</v>
      </c>
      <c r="M69" s="16" t="s">
        <v>98</v>
      </c>
      <c r="N69" s="16" t="s">
        <v>519</v>
      </c>
      <c r="O69" s="16" t="s">
        <v>520</v>
      </c>
      <c r="P69" s="16" t="s">
        <v>521</v>
      </c>
      <c r="Q69" s="16" t="s">
        <v>100</v>
      </c>
    </row>
    <row r="70" customFormat="false" ht="15" hidden="false" customHeight="false" outlineLevel="0" collapsed="false">
      <c r="A70" s="16" t="n">
        <v>18414</v>
      </c>
      <c r="B70" s="16" t="s">
        <v>522</v>
      </c>
      <c r="C70" s="16" t="s">
        <v>523</v>
      </c>
      <c r="D70" s="16" t="s">
        <v>22</v>
      </c>
      <c r="E70" s="16" t="s">
        <v>94</v>
      </c>
      <c r="F70" s="16" t="s">
        <v>62</v>
      </c>
      <c r="G70" s="16" t="s">
        <v>524</v>
      </c>
      <c r="H70" s="16" t="s">
        <v>46</v>
      </c>
      <c r="I70" s="16" t="s">
        <v>29</v>
      </c>
      <c r="J70" s="16" t="s">
        <v>525</v>
      </c>
      <c r="K70" s="16" t="n">
        <v>51.2251281738281</v>
      </c>
      <c r="L70" s="16" t="n">
        <v>-0.847474157810211</v>
      </c>
      <c r="M70" s="16" t="s">
        <v>98</v>
      </c>
      <c r="N70" s="16" t="s">
        <v>526</v>
      </c>
      <c r="O70" s="16" t="s">
        <v>527</v>
      </c>
      <c r="P70" s="16" t="s">
        <v>528</v>
      </c>
      <c r="Q70" s="16" t="s">
        <v>100</v>
      </c>
    </row>
    <row r="71" customFormat="false" ht="15" hidden="false" customHeight="false" outlineLevel="0" collapsed="false">
      <c r="A71" s="16" t="n">
        <v>18416</v>
      </c>
      <c r="B71" s="16" t="s">
        <v>529</v>
      </c>
      <c r="C71" s="16" t="s">
        <v>530</v>
      </c>
      <c r="D71" s="16" t="s">
        <v>22</v>
      </c>
      <c r="E71" s="16" t="s">
        <v>94</v>
      </c>
      <c r="F71" s="16" t="s">
        <v>62</v>
      </c>
      <c r="G71" s="16" t="s">
        <v>531</v>
      </c>
      <c r="H71" s="16" t="s">
        <v>47</v>
      </c>
      <c r="I71" s="16" t="s">
        <v>31</v>
      </c>
      <c r="J71" s="16" t="s">
        <v>532</v>
      </c>
      <c r="K71" s="16" t="n">
        <v>53.826057434082</v>
      </c>
      <c r="L71" s="16" t="n">
        <v>-3.01957058906555</v>
      </c>
      <c r="M71" s="16" t="s">
        <v>98</v>
      </c>
      <c r="N71" s="16" t="s">
        <v>533</v>
      </c>
      <c r="O71" s="16" t="s">
        <v>534</v>
      </c>
      <c r="P71" s="16" t="s">
        <v>535</v>
      </c>
      <c r="Q71" s="16" t="s">
        <v>100</v>
      </c>
    </row>
    <row r="72" customFormat="false" ht="15" hidden="false" customHeight="false" outlineLevel="0" collapsed="false">
      <c r="A72" s="16" t="n">
        <v>18417</v>
      </c>
      <c r="B72" s="16" t="s">
        <v>536</v>
      </c>
      <c r="C72" s="16" t="s">
        <v>537</v>
      </c>
      <c r="D72" s="16" t="s">
        <v>22</v>
      </c>
      <c r="E72" s="16" t="s">
        <v>94</v>
      </c>
      <c r="F72" s="16" t="s">
        <v>62</v>
      </c>
      <c r="G72" s="16" t="s">
        <v>538</v>
      </c>
      <c r="H72" s="16" t="s">
        <v>50</v>
      </c>
      <c r="I72" s="16" t="s">
        <v>35</v>
      </c>
      <c r="J72" s="16" t="s">
        <v>539</v>
      </c>
      <c r="K72" s="16" t="n">
        <v>53.688777923584</v>
      </c>
      <c r="L72" s="16" t="n">
        <v>-1.8289133310318</v>
      </c>
      <c r="M72" s="16" t="s">
        <v>98</v>
      </c>
      <c r="N72" s="16" t="s">
        <v>540</v>
      </c>
      <c r="O72" s="16" t="s">
        <v>541</v>
      </c>
      <c r="P72" s="16" t="s">
        <v>542</v>
      </c>
      <c r="Q72" s="16" t="s">
        <v>100</v>
      </c>
    </row>
    <row r="73" customFormat="false" ht="15" hidden="false" customHeight="false" outlineLevel="0" collapsed="false">
      <c r="A73" s="16" t="n">
        <v>18419</v>
      </c>
      <c r="B73" s="16" t="s">
        <v>543</v>
      </c>
      <c r="C73" s="16" t="s">
        <v>544</v>
      </c>
      <c r="D73" s="16" t="s">
        <v>22</v>
      </c>
      <c r="E73" s="16" t="s">
        <v>94</v>
      </c>
      <c r="F73" s="16" t="s">
        <v>62</v>
      </c>
      <c r="G73" s="16" t="s">
        <v>265</v>
      </c>
      <c r="H73" s="16" t="s">
        <v>50</v>
      </c>
      <c r="I73" s="16" t="s">
        <v>35</v>
      </c>
      <c r="J73" s="16" t="s">
        <v>545</v>
      </c>
      <c r="K73" s="16" t="n">
        <v>53.7404441833496</v>
      </c>
      <c r="L73" s="16" t="n">
        <v>-1.4233101606369</v>
      </c>
      <c r="M73" s="16" t="s">
        <v>98</v>
      </c>
      <c r="N73" s="16" t="s">
        <v>546</v>
      </c>
      <c r="O73" s="16" t="s">
        <v>547</v>
      </c>
      <c r="P73" s="16" t="s">
        <v>548</v>
      </c>
      <c r="Q73" s="16" t="s">
        <v>100</v>
      </c>
    </row>
    <row r="74" customFormat="false" ht="15" hidden="false" customHeight="false" outlineLevel="0" collapsed="false">
      <c r="A74" s="16" t="n">
        <v>18420</v>
      </c>
      <c r="B74" s="16" t="s">
        <v>549</v>
      </c>
      <c r="C74" s="16" t="s">
        <v>550</v>
      </c>
      <c r="D74" s="16" t="s">
        <v>22</v>
      </c>
      <c r="E74" s="16" t="s">
        <v>94</v>
      </c>
      <c r="F74" s="16" t="s">
        <v>62</v>
      </c>
      <c r="G74" s="16" t="s">
        <v>551</v>
      </c>
      <c r="H74" s="16" t="s">
        <v>552</v>
      </c>
      <c r="I74" s="16" t="s">
        <v>35</v>
      </c>
      <c r="J74" s="16" t="s">
        <v>553</v>
      </c>
      <c r="K74" s="16" t="n">
        <v>53.7392539978027</v>
      </c>
      <c r="L74" s="16" t="n">
        <v>-0.435012012720108</v>
      </c>
      <c r="M74" s="16" t="s">
        <v>98</v>
      </c>
      <c r="N74" s="16" t="s">
        <v>554</v>
      </c>
      <c r="O74" s="16" t="s">
        <v>555</v>
      </c>
      <c r="P74" s="16" t="s">
        <v>556</v>
      </c>
      <c r="Q74" s="16" t="s">
        <v>100</v>
      </c>
    </row>
    <row r="75" customFormat="false" ht="15" hidden="false" customHeight="false" outlineLevel="0" collapsed="false">
      <c r="A75" s="16" t="n">
        <v>18421</v>
      </c>
      <c r="B75" s="16" t="s">
        <v>557</v>
      </c>
      <c r="C75" s="16" t="s">
        <v>558</v>
      </c>
      <c r="D75" s="16" t="s">
        <v>22</v>
      </c>
      <c r="E75" s="16" t="s">
        <v>94</v>
      </c>
      <c r="F75" s="16" t="s">
        <v>62</v>
      </c>
      <c r="G75" s="16" t="s">
        <v>559</v>
      </c>
      <c r="H75" s="16" t="s">
        <v>187</v>
      </c>
      <c r="I75" s="16" t="s">
        <v>29</v>
      </c>
      <c r="J75" s="16" t="s">
        <v>560</v>
      </c>
      <c r="K75" s="16" t="n">
        <v>50.8318557739258</v>
      </c>
      <c r="L75" s="16" t="n">
        <v>-0.154885277152061</v>
      </c>
      <c r="M75" s="16" t="s">
        <v>98</v>
      </c>
      <c r="N75" s="16" t="s">
        <v>561</v>
      </c>
      <c r="O75" s="16" t="s">
        <v>562</v>
      </c>
      <c r="P75" s="16" t="s">
        <v>563</v>
      </c>
      <c r="Q75" s="16" t="s">
        <v>100</v>
      </c>
    </row>
    <row r="76" customFormat="false" ht="15" hidden="false" customHeight="false" outlineLevel="0" collapsed="false">
      <c r="A76" s="16" t="n">
        <v>18423</v>
      </c>
      <c r="B76" s="16" t="s">
        <v>564</v>
      </c>
      <c r="C76" s="16" t="s">
        <v>565</v>
      </c>
      <c r="D76" s="16" t="s">
        <v>22</v>
      </c>
      <c r="E76" s="16" t="s">
        <v>94</v>
      </c>
      <c r="F76" s="16" t="s">
        <v>61</v>
      </c>
      <c r="G76" s="16" t="s">
        <v>566</v>
      </c>
      <c r="H76" s="16" t="s">
        <v>55</v>
      </c>
      <c r="I76" s="16" t="s">
        <v>31</v>
      </c>
      <c r="J76" s="16" t="s">
        <v>567</v>
      </c>
      <c r="K76" s="16" t="n">
        <v>53.3972663879395</v>
      </c>
      <c r="L76" s="16" t="n">
        <v>-2.21581315994263</v>
      </c>
      <c r="M76" s="16" t="s">
        <v>98</v>
      </c>
      <c r="N76" s="16" t="s">
        <v>568</v>
      </c>
      <c r="O76" s="16" t="s">
        <v>569</v>
      </c>
      <c r="P76" s="16" t="s">
        <v>570</v>
      </c>
      <c r="Q76" s="16" t="s">
        <v>100</v>
      </c>
    </row>
    <row r="77" customFormat="false" ht="15" hidden="false" customHeight="false" outlineLevel="0" collapsed="false">
      <c r="A77" s="16" t="n">
        <v>18424</v>
      </c>
      <c r="B77" s="16" t="s">
        <v>571</v>
      </c>
      <c r="C77" s="16" t="s">
        <v>572</v>
      </c>
      <c r="D77" s="16" t="s">
        <v>22</v>
      </c>
      <c r="E77" s="16" t="s">
        <v>94</v>
      </c>
      <c r="F77" s="16" t="s">
        <v>61</v>
      </c>
      <c r="G77" s="16" t="s">
        <v>573</v>
      </c>
      <c r="H77" s="16" t="s">
        <v>56</v>
      </c>
      <c r="I77" s="16" t="s">
        <v>30</v>
      </c>
      <c r="J77" s="16" t="s">
        <v>574</v>
      </c>
      <c r="K77" s="16" t="n">
        <v>51.3642845153809</v>
      </c>
      <c r="L77" s="16" t="n">
        <v>-2.33202195167542</v>
      </c>
      <c r="M77" s="16" t="s">
        <v>98</v>
      </c>
      <c r="N77" s="16" t="s">
        <v>575</v>
      </c>
      <c r="O77" s="16" t="s">
        <v>576</v>
      </c>
      <c r="P77" s="16" t="s">
        <v>577</v>
      </c>
      <c r="Q77" s="16" t="s">
        <v>100</v>
      </c>
    </row>
    <row r="78" customFormat="false" ht="15" hidden="false" customHeight="false" outlineLevel="0" collapsed="false">
      <c r="A78" s="16" t="n">
        <v>18425</v>
      </c>
      <c r="B78" s="16" t="s">
        <v>578</v>
      </c>
      <c r="C78" s="16" t="s">
        <v>579</v>
      </c>
      <c r="D78" s="16" t="s">
        <v>22</v>
      </c>
      <c r="E78" s="16" t="s">
        <v>94</v>
      </c>
      <c r="F78" s="16" t="s">
        <v>61</v>
      </c>
      <c r="G78" s="16" t="s">
        <v>580</v>
      </c>
      <c r="H78" s="16" t="s">
        <v>47</v>
      </c>
      <c r="I78" s="16" t="s">
        <v>31</v>
      </c>
      <c r="J78" s="16" t="s">
        <v>581</v>
      </c>
      <c r="K78" s="16" t="n">
        <v>53.7550430297852</v>
      </c>
      <c r="L78" s="16" t="n">
        <v>-2.5131618976593</v>
      </c>
      <c r="M78" s="16" t="s">
        <v>98</v>
      </c>
      <c r="N78" s="16" t="s">
        <v>582</v>
      </c>
      <c r="O78" s="16" t="s">
        <v>583</v>
      </c>
      <c r="P78" s="16" t="s">
        <v>584</v>
      </c>
      <c r="Q78" s="16" t="s">
        <v>100</v>
      </c>
    </row>
    <row r="79" customFormat="false" ht="15" hidden="false" customHeight="false" outlineLevel="0" collapsed="false">
      <c r="A79" s="16" t="n">
        <v>18426</v>
      </c>
      <c r="B79" s="16" t="s">
        <v>585</v>
      </c>
      <c r="C79" s="16" t="s">
        <v>586</v>
      </c>
      <c r="D79" s="16" t="s">
        <v>22</v>
      </c>
      <c r="E79" s="16" t="s">
        <v>94</v>
      </c>
      <c r="F79" s="16" t="s">
        <v>61</v>
      </c>
      <c r="G79" s="16" t="s">
        <v>587</v>
      </c>
      <c r="H79" s="16" t="s">
        <v>47</v>
      </c>
      <c r="I79" s="16" t="s">
        <v>31</v>
      </c>
      <c r="J79" s="16" t="s">
        <v>588</v>
      </c>
      <c r="K79" s="16" t="n">
        <v>53.5814933776855</v>
      </c>
      <c r="L79" s="16" t="n">
        <v>-2.49929046630859</v>
      </c>
      <c r="M79" s="16" t="s">
        <v>98</v>
      </c>
      <c r="N79" s="16" t="s">
        <v>589</v>
      </c>
      <c r="O79" s="16" t="s">
        <v>590</v>
      </c>
      <c r="P79" s="16" t="s">
        <v>591</v>
      </c>
      <c r="Q79" s="16" t="s">
        <v>100</v>
      </c>
    </row>
    <row r="80" customFormat="false" ht="15" hidden="false" customHeight="false" outlineLevel="0" collapsed="false">
      <c r="A80" s="16" t="n">
        <v>18427</v>
      </c>
      <c r="B80" s="16" t="s">
        <v>592</v>
      </c>
      <c r="C80" s="16" t="s">
        <v>593</v>
      </c>
      <c r="D80" s="16" t="s">
        <v>22</v>
      </c>
      <c r="E80" s="16" t="s">
        <v>94</v>
      </c>
      <c r="F80" s="16" t="s">
        <v>61</v>
      </c>
      <c r="G80" s="16" t="s">
        <v>594</v>
      </c>
      <c r="H80" s="16" t="s">
        <v>595</v>
      </c>
      <c r="I80" s="16" t="s">
        <v>33</v>
      </c>
      <c r="J80" s="16" t="s">
        <v>596</v>
      </c>
      <c r="K80" s="16" t="n">
        <v>51.6164512634277</v>
      </c>
      <c r="L80" s="16" t="n">
        <v>-0.446507066488266</v>
      </c>
      <c r="M80" s="16" t="s">
        <v>98</v>
      </c>
      <c r="N80" s="16" t="s">
        <v>597</v>
      </c>
      <c r="O80" s="16" t="s">
        <v>569</v>
      </c>
      <c r="P80" s="16" t="s">
        <v>598</v>
      </c>
      <c r="Q80" s="16" t="s">
        <v>100</v>
      </c>
    </row>
    <row r="81" customFormat="false" ht="15" hidden="false" customHeight="false" outlineLevel="0" collapsed="false">
      <c r="A81" s="16" t="n">
        <v>18428</v>
      </c>
      <c r="B81" s="16" t="s">
        <v>599</v>
      </c>
      <c r="C81" s="16" t="s">
        <v>600</v>
      </c>
      <c r="D81" s="16" t="s">
        <v>22</v>
      </c>
      <c r="E81" s="16" t="s">
        <v>94</v>
      </c>
      <c r="F81" s="16" t="s">
        <v>61</v>
      </c>
      <c r="G81" s="16" t="s">
        <v>33</v>
      </c>
      <c r="H81" s="16" t="s">
        <v>44</v>
      </c>
      <c r="I81" s="16" t="s">
        <v>33</v>
      </c>
      <c r="J81" s="16" t="s">
        <v>601</v>
      </c>
      <c r="K81" s="16" t="n">
        <v>51.4634742736816</v>
      </c>
      <c r="L81" s="16" t="n">
        <v>0.0062793414108455</v>
      </c>
      <c r="M81" s="16" t="s">
        <v>98</v>
      </c>
      <c r="N81" s="16" t="s">
        <v>602</v>
      </c>
      <c r="O81" s="16" t="s">
        <v>569</v>
      </c>
      <c r="P81" s="16" t="s">
        <v>603</v>
      </c>
      <c r="Q81" s="16" t="s">
        <v>100</v>
      </c>
    </row>
    <row r="82" customFormat="false" ht="15" hidden="false" customHeight="false" outlineLevel="0" collapsed="false">
      <c r="A82" s="16" t="n">
        <v>18430</v>
      </c>
      <c r="B82" s="16" t="s">
        <v>604</v>
      </c>
      <c r="C82" s="16" t="s">
        <v>605</v>
      </c>
      <c r="D82" s="16" t="s">
        <v>22</v>
      </c>
      <c r="E82" s="16" t="s">
        <v>94</v>
      </c>
      <c r="F82" s="16" t="s">
        <v>61</v>
      </c>
      <c r="G82" s="16" t="s">
        <v>606</v>
      </c>
      <c r="H82" s="16" t="s">
        <v>45</v>
      </c>
      <c r="I82" s="16" t="s">
        <v>29</v>
      </c>
      <c r="J82" s="16" t="s">
        <v>607</v>
      </c>
      <c r="K82" s="16" t="n">
        <v>51.26171875</v>
      </c>
      <c r="L82" s="16" t="n">
        <v>1.08745932579041</v>
      </c>
      <c r="M82" s="16" t="s">
        <v>98</v>
      </c>
      <c r="N82" s="16" t="s">
        <v>608</v>
      </c>
      <c r="O82" s="16" t="s">
        <v>609</v>
      </c>
      <c r="P82" s="16" t="s">
        <v>610</v>
      </c>
      <c r="Q82" s="16" t="s">
        <v>100</v>
      </c>
    </row>
    <row r="83" customFormat="false" ht="15" hidden="false" customHeight="false" outlineLevel="0" collapsed="false">
      <c r="A83" s="16" t="n">
        <v>18431</v>
      </c>
      <c r="B83" s="16" t="s">
        <v>611</v>
      </c>
      <c r="C83" s="16" t="s">
        <v>612</v>
      </c>
      <c r="D83" s="16" t="s">
        <v>22</v>
      </c>
      <c r="E83" s="16" t="s">
        <v>94</v>
      </c>
      <c r="F83" s="16" t="s">
        <v>61</v>
      </c>
      <c r="G83" s="16" t="s">
        <v>613</v>
      </c>
      <c r="H83" s="16" t="s">
        <v>45</v>
      </c>
      <c r="I83" s="16" t="s">
        <v>29</v>
      </c>
      <c r="J83" s="16" t="s">
        <v>614</v>
      </c>
      <c r="K83" s="16" t="n">
        <v>51.3584671020508</v>
      </c>
      <c r="L83" s="16" t="n">
        <v>0.130860954523087</v>
      </c>
      <c r="M83" s="16" t="s">
        <v>98</v>
      </c>
      <c r="N83" s="16" t="s">
        <v>615</v>
      </c>
      <c r="O83" s="16"/>
      <c r="P83" s="16" t="s">
        <v>616</v>
      </c>
      <c r="Q83" s="16" t="s">
        <v>100</v>
      </c>
    </row>
    <row r="84" customFormat="false" ht="15" hidden="false" customHeight="false" outlineLevel="0" collapsed="false">
      <c r="A84" s="16" t="n">
        <v>18432</v>
      </c>
      <c r="B84" s="16" t="s">
        <v>617</v>
      </c>
      <c r="C84" s="16" t="s">
        <v>618</v>
      </c>
      <c r="D84" s="16" t="s">
        <v>22</v>
      </c>
      <c r="E84" s="16" t="s">
        <v>94</v>
      </c>
      <c r="F84" s="16" t="s">
        <v>61</v>
      </c>
      <c r="G84" s="16" t="s">
        <v>619</v>
      </c>
      <c r="H84" s="16" t="s">
        <v>620</v>
      </c>
      <c r="I84" s="16" t="s">
        <v>29</v>
      </c>
      <c r="J84" s="16" t="s">
        <v>621</v>
      </c>
      <c r="K84" s="16" t="n">
        <v>51.6905326843262</v>
      </c>
      <c r="L84" s="16" t="n">
        <v>-0.693654179573059</v>
      </c>
      <c r="M84" s="16" t="s">
        <v>98</v>
      </c>
      <c r="N84" s="16" t="s">
        <v>622</v>
      </c>
      <c r="O84" s="16" t="s">
        <v>623</v>
      </c>
      <c r="P84" s="16" t="s">
        <v>624</v>
      </c>
      <c r="Q84" s="16" t="s">
        <v>100</v>
      </c>
    </row>
    <row r="85" customFormat="false" ht="15" hidden="false" customHeight="false" outlineLevel="0" collapsed="false">
      <c r="A85" s="16" t="n">
        <v>18433</v>
      </c>
      <c r="B85" s="16" t="s">
        <v>625</v>
      </c>
      <c r="C85" s="16" t="s">
        <v>626</v>
      </c>
      <c r="D85" s="16" t="s">
        <v>22</v>
      </c>
      <c r="E85" s="16" t="s">
        <v>94</v>
      </c>
      <c r="F85" s="16" t="s">
        <v>61</v>
      </c>
      <c r="G85" s="16" t="s">
        <v>627</v>
      </c>
      <c r="H85" s="16" t="s">
        <v>595</v>
      </c>
      <c r="I85" s="16" t="s">
        <v>33</v>
      </c>
      <c r="J85" s="16" t="s">
        <v>628</v>
      </c>
      <c r="K85" s="16" t="n">
        <v>51.5649681091309</v>
      </c>
      <c r="L85" s="16" t="n">
        <v>-0.332694321870804</v>
      </c>
      <c r="M85" s="16" t="s">
        <v>98</v>
      </c>
      <c r="N85" s="16" t="s">
        <v>629</v>
      </c>
      <c r="O85" s="16" t="s">
        <v>630</v>
      </c>
      <c r="P85" s="16" t="s">
        <v>631</v>
      </c>
      <c r="Q85" s="16" t="s">
        <v>100</v>
      </c>
    </row>
    <row r="86" customFormat="false" ht="15" hidden="false" customHeight="false" outlineLevel="0" collapsed="false">
      <c r="A86" s="16" t="n">
        <v>18434</v>
      </c>
      <c r="B86" s="16" t="s">
        <v>632</v>
      </c>
      <c r="C86" s="16" t="s">
        <v>633</v>
      </c>
      <c r="D86" s="16" t="s">
        <v>22</v>
      </c>
      <c r="E86" s="16" t="s">
        <v>94</v>
      </c>
      <c r="F86" s="16" t="s">
        <v>61</v>
      </c>
      <c r="G86" s="16" t="s">
        <v>634</v>
      </c>
      <c r="H86" s="16" t="s">
        <v>340</v>
      </c>
      <c r="I86" s="16" t="s">
        <v>34</v>
      </c>
      <c r="J86" s="16" t="s">
        <v>635</v>
      </c>
      <c r="K86" s="16" t="n">
        <v>52.2655372619629</v>
      </c>
      <c r="L86" s="16" t="n">
        <v>-2.15086627006531</v>
      </c>
      <c r="M86" s="16" t="s">
        <v>98</v>
      </c>
      <c r="N86" s="16" t="s">
        <v>636</v>
      </c>
      <c r="O86" s="16" t="s">
        <v>637</v>
      </c>
      <c r="P86" s="16" t="s">
        <v>638</v>
      </c>
      <c r="Q86" s="16" t="s">
        <v>100</v>
      </c>
    </row>
    <row r="87" customFormat="false" ht="15" hidden="false" customHeight="false" outlineLevel="0" collapsed="false">
      <c r="A87" s="16" t="n">
        <v>18438</v>
      </c>
      <c r="B87" s="16" t="s">
        <v>639</v>
      </c>
      <c r="C87" s="16" t="s">
        <v>640</v>
      </c>
      <c r="D87" s="16" t="s">
        <v>22</v>
      </c>
      <c r="E87" s="16" t="s">
        <v>94</v>
      </c>
      <c r="F87" s="16" t="s">
        <v>61</v>
      </c>
      <c r="G87" s="16" t="s">
        <v>33</v>
      </c>
      <c r="H87" s="16" t="s">
        <v>44</v>
      </c>
      <c r="I87" s="16" t="s">
        <v>33</v>
      </c>
      <c r="J87" s="16" t="s">
        <v>641</v>
      </c>
      <c r="K87" s="16" t="n">
        <v>51.5937118530273</v>
      </c>
      <c r="L87" s="16" t="n">
        <v>-0.224589705467224</v>
      </c>
      <c r="M87" s="16" t="s">
        <v>98</v>
      </c>
      <c r="N87" s="16" t="s">
        <v>642</v>
      </c>
      <c r="O87" s="16" t="s">
        <v>643</v>
      </c>
      <c r="P87" s="16" t="s">
        <v>644</v>
      </c>
      <c r="Q87" s="16" t="s">
        <v>100</v>
      </c>
    </row>
    <row r="88" customFormat="false" ht="15" hidden="false" customHeight="false" outlineLevel="0" collapsed="false">
      <c r="A88" s="16" t="n">
        <v>18439</v>
      </c>
      <c r="B88" s="16" t="s">
        <v>645</v>
      </c>
      <c r="C88" s="16" t="s">
        <v>646</v>
      </c>
      <c r="D88" s="16" t="s">
        <v>22</v>
      </c>
      <c r="E88" s="16" t="s">
        <v>94</v>
      </c>
      <c r="F88" s="16" t="s">
        <v>61</v>
      </c>
      <c r="G88" s="16" t="s">
        <v>647</v>
      </c>
      <c r="H88" s="16" t="s">
        <v>214</v>
      </c>
      <c r="I88" s="16" t="s">
        <v>29</v>
      </c>
      <c r="J88" s="16" t="s">
        <v>648</v>
      </c>
      <c r="K88" s="16" t="n">
        <v>50.8113899230957</v>
      </c>
      <c r="L88" s="16" t="n">
        <v>-0.431818693876267</v>
      </c>
      <c r="M88" s="16" t="s">
        <v>98</v>
      </c>
      <c r="N88" s="16" t="s">
        <v>649</v>
      </c>
      <c r="O88" s="16" t="s">
        <v>569</v>
      </c>
      <c r="P88" s="16" t="s">
        <v>650</v>
      </c>
      <c r="Q88" s="16" t="s">
        <v>100</v>
      </c>
    </row>
    <row r="89" customFormat="false" ht="15" hidden="false" customHeight="false" outlineLevel="0" collapsed="false">
      <c r="A89" s="16" t="n">
        <v>18441</v>
      </c>
      <c r="B89" s="16" t="s">
        <v>651</v>
      </c>
      <c r="C89" s="16" t="s">
        <v>652</v>
      </c>
      <c r="D89" s="16" t="s">
        <v>22</v>
      </c>
      <c r="E89" s="16" t="s">
        <v>94</v>
      </c>
      <c r="F89" s="16" t="s">
        <v>61</v>
      </c>
      <c r="G89" s="16" t="s">
        <v>653</v>
      </c>
      <c r="H89" s="16" t="s">
        <v>53</v>
      </c>
      <c r="I89" s="16" t="s">
        <v>30</v>
      </c>
      <c r="J89" s="16" t="s">
        <v>654</v>
      </c>
      <c r="K89" s="16" t="n">
        <v>50.7220077514649</v>
      </c>
      <c r="L89" s="16" t="n">
        <v>-1.97568118572235</v>
      </c>
      <c r="M89" s="16" t="s">
        <v>98</v>
      </c>
      <c r="N89" s="16" t="s">
        <v>655</v>
      </c>
      <c r="O89" s="16" t="s">
        <v>569</v>
      </c>
      <c r="P89" s="16" t="s">
        <v>656</v>
      </c>
      <c r="Q89" s="16" t="s">
        <v>100</v>
      </c>
    </row>
    <row r="90" customFormat="false" ht="15" hidden="false" customHeight="false" outlineLevel="0" collapsed="false">
      <c r="A90" s="16" t="n">
        <v>18442</v>
      </c>
      <c r="B90" s="16" t="s">
        <v>657</v>
      </c>
      <c r="C90" s="16" t="s">
        <v>658</v>
      </c>
      <c r="D90" s="16" t="s">
        <v>22</v>
      </c>
      <c r="E90" s="16" t="s">
        <v>94</v>
      </c>
      <c r="F90" s="16" t="s">
        <v>61</v>
      </c>
      <c r="G90" s="16" t="s">
        <v>659</v>
      </c>
      <c r="H90" s="16" t="s">
        <v>47</v>
      </c>
      <c r="I90" s="16" t="s">
        <v>31</v>
      </c>
      <c r="J90" s="16" t="s">
        <v>660</v>
      </c>
      <c r="K90" s="16" t="n">
        <v>53.6065063476563</v>
      </c>
      <c r="L90" s="16" t="n">
        <v>-2.16749024391174</v>
      </c>
      <c r="M90" s="16" t="s">
        <v>98</v>
      </c>
      <c r="N90" s="16" t="s">
        <v>661</v>
      </c>
      <c r="O90" s="16" t="s">
        <v>662</v>
      </c>
      <c r="P90" s="16" t="s">
        <v>663</v>
      </c>
      <c r="Q90" s="16" t="s">
        <v>100</v>
      </c>
    </row>
    <row r="91" customFormat="false" ht="15" hidden="false" customHeight="false" outlineLevel="0" collapsed="false">
      <c r="A91" s="16" t="n">
        <v>18443</v>
      </c>
      <c r="B91" s="16" t="s">
        <v>664</v>
      </c>
      <c r="C91" s="16" t="s">
        <v>665</v>
      </c>
      <c r="D91" s="16" t="s">
        <v>22</v>
      </c>
      <c r="E91" s="16" t="s">
        <v>94</v>
      </c>
      <c r="F91" s="16" t="s">
        <v>61</v>
      </c>
      <c r="G91" s="16" t="s">
        <v>666</v>
      </c>
      <c r="H91" s="16" t="s">
        <v>595</v>
      </c>
      <c r="I91" s="16" t="s">
        <v>33</v>
      </c>
      <c r="J91" s="16" t="s">
        <v>667</v>
      </c>
      <c r="K91" s="16" t="n">
        <v>51.6679000854492</v>
      </c>
      <c r="L91" s="16" t="n">
        <v>-0.105554051697254</v>
      </c>
      <c r="M91" s="16" t="s">
        <v>98</v>
      </c>
      <c r="N91" s="16" t="s">
        <v>668</v>
      </c>
      <c r="O91" s="16" t="s">
        <v>669</v>
      </c>
      <c r="P91" s="16" t="s">
        <v>670</v>
      </c>
      <c r="Q91" s="16" t="s">
        <v>100</v>
      </c>
    </row>
    <row r="92" customFormat="false" ht="15" hidden="false" customHeight="false" outlineLevel="0" collapsed="false">
      <c r="A92" s="16" t="n">
        <v>18444</v>
      </c>
      <c r="B92" s="16" t="s">
        <v>671</v>
      </c>
      <c r="C92" s="16" t="s">
        <v>672</v>
      </c>
      <c r="D92" s="16" t="s">
        <v>22</v>
      </c>
      <c r="E92" s="16" t="s">
        <v>94</v>
      </c>
      <c r="F92" s="16" t="s">
        <v>61</v>
      </c>
      <c r="G92" s="16" t="s">
        <v>33</v>
      </c>
      <c r="H92" s="16" t="s">
        <v>44</v>
      </c>
      <c r="I92" s="16" t="s">
        <v>33</v>
      </c>
      <c r="J92" s="16" t="s">
        <v>673</v>
      </c>
      <c r="K92" s="16" t="n">
        <v>51.5204010009766</v>
      </c>
      <c r="L92" s="16" t="n">
        <v>-0.0467299558222293</v>
      </c>
      <c r="M92" s="16" t="s">
        <v>98</v>
      </c>
      <c r="N92" s="16" t="s">
        <v>674</v>
      </c>
      <c r="O92" s="16" t="s">
        <v>675</v>
      </c>
      <c r="P92" s="16" t="s">
        <v>676</v>
      </c>
      <c r="Q92" s="16" t="s">
        <v>100</v>
      </c>
    </row>
    <row r="93" customFormat="false" ht="15" hidden="false" customHeight="false" outlineLevel="0" collapsed="false">
      <c r="A93" s="16" t="n">
        <v>18445</v>
      </c>
      <c r="B93" s="16" t="s">
        <v>677</v>
      </c>
      <c r="C93" s="16" t="s">
        <v>678</v>
      </c>
      <c r="D93" s="16" t="s">
        <v>22</v>
      </c>
      <c r="E93" s="16" t="s">
        <v>94</v>
      </c>
      <c r="F93" s="16" t="s">
        <v>61</v>
      </c>
      <c r="G93" s="16" t="s">
        <v>679</v>
      </c>
      <c r="H93" s="16" t="s">
        <v>152</v>
      </c>
      <c r="I93" s="16" t="s">
        <v>32</v>
      </c>
      <c r="J93" s="16" t="s">
        <v>680</v>
      </c>
      <c r="K93" s="16" t="n">
        <v>52.1383857727051</v>
      </c>
      <c r="L93" s="16" t="n">
        <v>-0.513136744499207</v>
      </c>
      <c r="M93" s="16" t="s">
        <v>98</v>
      </c>
      <c r="N93" s="16" t="s">
        <v>681</v>
      </c>
      <c r="O93" s="16" t="s">
        <v>682</v>
      </c>
      <c r="P93" s="16" t="s">
        <v>683</v>
      </c>
      <c r="Q93" s="16" t="s">
        <v>100</v>
      </c>
    </row>
    <row r="94" customFormat="false" ht="15" hidden="false" customHeight="false" outlineLevel="0" collapsed="false">
      <c r="A94" s="16" t="n">
        <v>18446</v>
      </c>
      <c r="B94" s="16" t="s">
        <v>684</v>
      </c>
      <c r="C94" s="16" t="s">
        <v>685</v>
      </c>
      <c r="D94" s="16" t="s">
        <v>22</v>
      </c>
      <c r="E94" s="16" t="s">
        <v>94</v>
      </c>
      <c r="F94" s="16" t="s">
        <v>61</v>
      </c>
      <c r="G94" s="16" t="s">
        <v>686</v>
      </c>
      <c r="H94" s="16" t="s">
        <v>260</v>
      </c>
      <c r="I94" s="16" t="s">
        <v>34</v>
      </c>
      <c r="J94" s="16" t="s">
        <v>687</v>
      </c>
      <c r="K94" s="16" t="n">
        <v>52.4212150573731</v>
      </c>
      <c r="L94" s="16" t="n">
        <v>-1.43838858604431</v>
      </c>
      <c r="M94" s="16" t="s">
        <v>98</v>
      </c>
      <c r="N94" s="16" t="s">
        <v>688</v>
      </c>
      <c r="O94" s="16" t="s">
        <v>689</v>
      </c>
      <c r="P94" s="16" t="s">
        <v>690</v>
      </c>
      <c r="Q94" s="16" t="s">
        <v>100</v>
      </c>
    </row>
    <row r="95" customFormat="false" ht="15" hidden="false" customHeight="false" outlineLevel="0" collapsed="false">
      <c r="A95" s="16" t="n">
        <v>18449</v>
      </c>
      <c r="B95" s="16" t="s">
        <v>691</v>
      </c>
      <c r="C95" s="16" t="s">
        <v>692</v>
      </c>
      <c r="D95" s="16" t="s">
        <v>22</v>
      </c>
      <c r="E95" s="16" t="s">
        <v>94</v>
      </c>
      <c r="F95" s="16" t="s">
        <v>61</v>
      </c>
      <c r="G95" s="16" t="s">
        <v>693</v>
      </c>
      <c r="H95" s="16" t="s">
        <v>694</v>
      </c>
      <c r="I95" s="16" t="s">
        <v>36</v>
      </c>
      <c r="J95" s="16" t="s">
        <v>695</v>
      </c>
      <c r="K95" s="16" t="n">
        <v>53.0500946044922</v>
      </c>
      <c r="L95" s="16" t="n">
        <v>-1.14287126064301</v>
      </c>
      <c r="M95" s="16" t="s">
        <v>98</v>
      </c>
      <c r="N95" s="16" t="s">
        <v>696</v>
      </c>
      <c r="O95" s="16"/>
      <c r="P95" s="16" t="s">
        <v>697</v>
      </c>
      <c r="Q95" s="16" t="s">
        <v>100</v>
      </c>
    </row>
    <row r="96" customFormat="false" ht="15" hidden="false" customHeight="false" outlineLevel="0" collapsed="false">
      <c r="A96" s="16" t="n">
        <v>18450</v>
      </c>
      <c r="B96" s="16" t="s">
        <v>698</v>
      </c>
      <c r="C96" s="16" t="s">
        <v>699</v>
      </c>
      <c r="D96" s="16" t="s">
        <v>22</v>
      </c>
      <c r="E96" s="16" t="s">
        <v>94</v>
      </c>
      <c r="F96" s="16" t="s">
        <v>61</v>
      </c>
      <c r="G96" s="16" t="s">
        <v>700</v>
      </c>
      <c r="H96" s="16" t="s">
        <v>510</v>
      </c>
      <c r="I96" s="16" t="s">
        <v>29</v>
      </c>
      <c r="J96" s="16" t="s">
        <v>701</v>
      </c>
      <c r="K96" s="16" t="n">
        <v>51.4746971130371</v>
      </c>
      <c r="L96" s="16" t="n">
        <v>-0.610265970230103</v>
      </c>
      <c r="M96" s="16" t="s">
        <v>98</v>
      </c>
      <c r="N96" s="16" t="s">
        <v>702</v>
      </c>
      <c r="O96" s="16" t="s">
        <v>569</v>
      </c>
      <c r="P96" s="16" t="s">
        <v>703</v>
      </c>
      <c r="Q96" s="16" t="s">
        <v>100</v>
      </c>
    </row>
    <row r="97" customFormat="false" ht="15" hidden="false" customHeight="false" outlineLevel="0" collapsed="false">
      <c r="A97" s="16" t="n">
        <v>18451</v>
      </c>
      <c r="B97" s="16" t="s">
        <v>704</v>
      </c>
      <c r="C97" s="16" t="s">
        <v>705</v>
      </c>
      <c r="D97" s="16" t="s">
        <v>22</v>
      </c>
      <c r="E97" s="16" t="s">
        <v>94</v>
      </c>
      <c r="F97" s="16" t="s">
        <v>61</v>
      </c>
      <c r="G97" s="16" t="s">
        <v>706</v>
      </c>
      <c r="H97" s="16" t="s">
        <v>34</v>
      </c>
      <c r="I97" s="16" t="s">
        <v>34</v>
      </c>
      <c r="J97" s="16" t="s">
        <v>707</v>
      </c>
      <c r="K97" s="16" t="n">
        <v>52.4564323425293</v>
      </c>
      <c r="L97" s="16" t="n">
        <v>-1.91140866279602</v>
      </c>
      <c r="M97" s="16" t="s">
        <v>98</v>
      </c>
      <c r="N97" s="16" t="s">
        <v>708</v>
      </c>
      <c r="O97" s="16" t="s">
        <v>709</v>
      </c>
      <c r="P97" s="16" t="s">
        <v>710</v>
      </c>
      <c r="Q97" s="16" t="s">
        <v>100</v>
      </c>
    </row>
    <row r="98" customFormat="false" ht="15" hidden="false" customHeight="false" outlineLevel="0" collapsed="false">
      <c r="A98" s="16" t="n">
        <v>18452</v>
      </c>
      <c r="B98" s="16" t="s">
        <v>711</v>
      </c>
      <c r="C98" s="16" t="s">
        <v>712</v>
      </c>
      <c r="D98" s="16" t="s">
        <v>22</v>
      </c>
      <c r="E98" s="16" t="s">
        <v>94</v>
      </c>
      <c r="F98" s="16" t="s">
        <v>61</v>
      </c>
      <c r="G98" s="16" t="s">
        <v>713</v>
      </c>
      <c r="H98" s="16" t="s">
        <v>714</v>
      </c>
      <c r="I98" s="16" t="s">
        <v>30</v>
      </c>
      <c r="J98" s="16" t="s">
        <v>715</v>
      </c>
      <c r="K98" s="16" t="n">
        <v>51.5253295898438</v>
      </c>
      <c r="L98" s="16" t="n">
        <v>-1.78614664077759</v>
      </c>
      <c r="M98" s="16" t="s">
        <v>98</v>
      </c>
      <c r="N98" s="16" t="s">
        <v>716</v>
      </c>
      <c r="O98" s="16" t="s">
        <v>717</v>
      </c>
      <c r="P98" s="16" t="s">
        <v>718</v>
      </c>
      <c r="Q98" s="16" t="s">
        <v>100</v>
      </c>
    </row>
    <row r="99" customFormat="false" ht="15" hidden="false" customHeight="false" outlineLevel="0" collapsed="false">
      <c r="A99" s="16" t="n">
        <v>18453</v>
      </c>
      <c r="B99" s="16" t="s">
        <v>719</v>
      </c>
      <c r="C99" s="16" t="s">
        <v>720</v>
      </c>
      <c r="D99" s="16" t="s">
        <v>22</v>
      </c>
      <c r="E99" s="16" t="s">
        <v>94</v>
      </c>
      <c r="F99" s="16" t="s">
        <v>61</v>
      </c>
      <c r="G99" s="16" t="s">
        <v>721</v>
      </c>
      <c r="H99" s="16" t="s">
        <v>46</v>
      </c>
      <c r="I99" s="16" t="s">
        <v>29</v>
      </c>
      <c r="J99" s="16" t="s">
        <v>722</v>
      </c>
      <c r="K99" s="16" t="n">
        <v>51.3779754638672</v>
      </c>
      <c r="L99" s="16" t="n">
        <v>-0.524110198020935</v>
      </c>
      <c r="M99" s="16" t="s">
        <v>98</v>
      </c>
      <c r="N99" s="16" t="s">
        <v>723</v>
      </c>
      <c r="O99" s="16" t="s">
        <v>724</v>
      </c>
      <c r="P99" s="16" t="s">
        <v>725</v>
      </c>
      <c r="Q99" s="16" t="s">
        <v>100</v>
      </c>
    </row>
    <row r="100" customFormat="false" ht="15" hidden="false" customHeight="false" outlineLevel="0" collapsed="false">
      <c r="A100" s="16" t="n">
        <v>18455</v>
      </c>
      <c r="B100" s="16" t="s">
        <v>726</v>
      </c>
      <c r="C100" s="16" t="s">
        <v>727</v>
      </c>
      <c r="D100" s="16" t="s">
        <v>22</v>
      </c>
      <c r="E100" s="16" t="s">
        <v>94</v>
      </c>
      <c r="F100" s="16" t="s">
        <v>61</v>
      </c>
      <c r="G100" s="16" t="s">
        <v>728</v>
      </c>
      <c r="H100" s="16" t="s">
        <v>51</v>
      </c>
      <c r="I100" s="16" t="s">
        <v>29</v>
      </c>
      <c r="J100" s="16" t="s">
        <v>729</v>
      </c>
      <c r="K100" s="16" t="n">
        <v>51.0613021850586</v>
      </c>
      <c r="L100" s="16" t="n">
        <v>-1.33849430084229</v>
      </c>
      <c r="M100" s="16" t="s">
        <v>98</v>
      </c>
      <c r="N100" s="16" t="s">
        <v>730</v>
      </c>
      <c r="O100" s="16" t="s">
        <v>731</v>
      </c>
      <c r="P100" s="16" t="s">
        <v>732</v>
      </c>
      <c r="Q100" s="16" t="s">
        <v>100</v>
      </c>
    </row>
    <row r="101" customFormat="false" ht="15" hidden="false" customHeight="false" outlineLevel="0" collapsed="false">
      <c r="A101" s="16" t="n">
        <v>18456</v>
      </c>
      <c r="B101" s="16" t="s">
        <v>733</v>
      </c>
      <c r="C101" s="16" t="s">
        <v>734</v>
      </c>
      <c r="D101" s="16" t="s">
        <v>22</v>
      </c>
      <c r="E101" s="16" t="s">
        <v>94</v>
      </c>
      <c r="F101" s="16" t="s">
        <v>61</v>
      </c>
      <c r="G101" s="16" t="s">
        <v>735</v>
      </c>
      <c r="H101" s="16" t="s">
        <v>620</v>
      </c>
      <c r="I101" s="16" t="s">
        <v>29</v>
      </c>
      <c r="J101" s="16" t="s">
        <v>736</v>
      </c>
      <c r="K101" s="16" t="n">
        <v>52.0256156921387</v>
      </c>
      <c r="L101" s="16" t="n">
        <v>-0.740350008010864</v>
      </c>
      <c r="M101" s="16" t="s">
        <v>98</v>
      </c>
      <c r="N101" s="16" t="s">
        <v>737</v>
      </c>
      <c r="O101" s="16" t="s">
        <v>738</v>
      </c>
      <c r="P101" s="16" t="s">
        <v>739</v>
      </c>
      <c r="Q101" s="16" t="s">
        <v>100</v>
      </c>
    </row>
    <row r="102" customFormat="false" ht="15" hidden="false" customHeight="false" outlineLevel="0" collapsed="false">
      <c r="A102" s="16" t="n">
        <v>18457</v>
      </c>
      <c r="B102" s="16" t="s">
        <v>740</v>
      </c>
      <c r="C102" s="16" t="s">
        <v>741</v>
      </c>
      <c r="D102" s="16" t="s">
        <v>22</v>
      </c>
      <c r="E102" s="16" t="s">
        <v>94</v>
      </c>
      <c r="F102" s="16" t="s">
        <v>61</v>
      </c>
      <c r="G102" s="16" t="s">
        <v>742</v>
      </c>
      <c r="H102" s="16" t="s">
        <v>620</v>
      </c>
      <c r="I102" s="16" t="s">
        <v>29</v>
      </c>
      <c r="J102" s="16" t="s">
        <v>743</v>
      </c>
      <c r="K102" s="16" t="n">
        <v>51.6260375976563</v>
      </c>
      <c r="L102" s="16" t="n">
        <v>-0.755028188228607</v>
      </c>
      <c r="M102" s="16" t="s">
        <v>98</v>
      </c>
      <c r="N102" s="16" t="s">
        <v>744</v>
      </c>
      <c r="O102" s="16" t="s">
        <v>745</v>
      </c>
      <c r="P102" s="16" t="s">
        <v>746</v>
      </c>
      <c r="Q102" s="16" t="s">
        <v>100</v>
      </c>
    </row>
    <row r="103" customFormat="false" ht="15" hidden="false" customHeight="false" outlineLevel="0" collapsed="false">
      <c r="A103" s="16" t="n">
        <v>18458</v>
      </c>
      <c r="B103" s="16" t="s">
        <v>747</v>
      </c>
      <c r="C103" s="16" t="s">
        <v>748</v>
      </c>
      <c r="D103" s="16" t="s">
        <v>22</v>
      </c>
      <c r="E103" s="16" t="s">
        <v>94</v>
      </c>
      <c r="F103" s="16" t="s">
        <v>61</v>
      </c>
      <c r="G103" s="16" t="s">
        <v>749</v>
      </c>
      <c r="H103" s="16" t="s">
        <v>46</v>
      </c>
      <c r="I103" s="16" t="s">
        <v>29</v>
      </c>
      <c r="J103" s="16" t="s">
        <v>750</v>
      </c>
      <c r="K103" s="16" t="n">
        <v>51.3823013305664</v>
      </c>
      <c r="L103" s="16" t="n">
        <v>-0.0563377290964126</v>
      </c>
      <c r="M103" s="16" t="s">
        <v>98</v>
      </c>
      <c r="N103" s="16" t="s">
        <v>751</v>
      </c>
      <c r="O103" s="16" t="s">
        <v>569</v>
      </c>
      <c r="P103" s="16" t="s">
        <v>752</v>
      </c>
      <c r="Q103" s="16" t="s">
        <v>100</v>
      </c>
    </row>
    <row r="104" customFormat="false" ht="15" hidden="false" customHeight="false" outlineLevel="0" collapsed="false">
      <c r="A104" s="16" t="n">
        <v>18459</v>
      </c>
      <c r="B104" s="16" t="s">
        <v>753</v>
      </c>
      <c r="C104" s="16" t="s">
        <v>754</v>
      </c>
      <c r="D104" s="16" t="s">
        <v>22</v>
      </c>
      <c r="E104" s="16" t="s">
        <v>94</v>
      </c>
      <c r="F104" s="16" t="s">
        <v>61</v>
      </c>
      <c r="G104" s="16" t="s">
        <v>755</v>
      </c>
      <c r="H104" s="16" t="s">
        <v>45</v>
      </c>
      <c r="I104" s="16" t="s">
        <v>29</v>
      </c>
      <c r="J104" s="16" t="s">
        <v>756</v>
      </c>
      <c r="K104" s="16" t="n">
        <v>51.408332824707</v>
      </c>
      <c r="L104" s="16" t="n">
        <v>-0.0043459585867822</v>
      </c>
      <c r="M104" s="16" t="s">
        <v>98</v>
      </c>
      <c r="N104" s="16" t="s">
        <v>757</v>
      </c>
      <c r="O104" s="16"/>
      <c r="P104" s="16" t="s">
        <v>758</v>
      </c>
      <c r="Q104" s="16" t="s">
        <v>100</v>
      </c>
    </row>
    <row r="105" customFormat="false" ht="15" hidden="false" customHeight="false" outlineLevel="0" collapsed="false">
      <c r="A105" s="16" t="n">
        <v>18462</v>
      </c>
      <c r="B105" s="16" t="s">
        <v>759</v>
      </c>
      <c r="C105" s="16" t="s">
        <v>760</v>
      </c>
      <c r="D105" s="16" t="s">
        <v>22</v>
      </c>
      <c r="E105" s="16" t="s">
        <v>94</v>
      </c>
      <c r="F105" s="16" t="s">
        <v>61</v>
      </c>
      <c r="G105" s="16" t="s">
        <v>761</v>
      </c>
      <c r="H105" s="16" t="s">
        <v>762</v>
      </c>
      <c r="I105" s="16" t="s">
        <v>35</v>
      </c>
      <c r="J105" s="16" t="s">
        <v>763</v>
      </c>
      <c r="K105" s="16" t="n">
        <v>53.3745193481445</v>
      </c>
      <c r="L105" s="16" t="n">
        <v>-1.5172610282898</v>
      </c>
      <c r="M105" s="16" t="s">
        <v>98</v>
      </c>
      <c r="N105" s="16" t="s">
        <v>764</v>
      </c>
      <c r="O105" s="16" t="s">
        <v>569</v>
      </c>
      <c r="P105" s="16" t="s">
        <v>765</v>
      </c>
      <c r="Q105" s="16" t="s">
        <v>100</v>
      </c>
    </row>
    <row r="106" customFormat="false" ht="15" hidden="false" customHeight="false" outlineLevel="0" collapsed="false">
      <c r="A106" s="16" t="n">
        <v>18463</v>
      </c>
      <c r="B106" s="16" t="s">
        <v>766</v>
      </c>
      <c r="C106" s="16" t="s">
        <v>767</v>
      </c>
      <c r="D106" s="16" t="s">
        <v>22</v>
      </c>
      <c r="E106" s="16" t="s">
        <v>94</v>
      </c>
      <c r="F106" s="16" t="s">
        <v>61</v>
      </c>
      <c r="G106" s="16" t="s">
        <v>768</v>
      </c>
      <c r="H106" s="16" t="s">
        <v>769</v>
      </c>
      <c r="I106" s="16" t="s">
        <v>36</v>
      </c>
      <c r="J106" s="16" t="s">
        <v>770</v>
      </c>
      <c r="K106" s="16" t="n">
        <v>52.2361450195313</v>
      </c>
      <c r="L106" s="16" t="n">
        <v>-0.87430864572525</v>
      </c>
      <c r="M106" s="16" t="s">
        <v>98</v>
      </c>
      <c r="N106" s="16" t="s">
        <v>771</v>
      </c>
      <c r="O106" s="16"/>
      <c r="P106" s="16" t="s">
        <v>772</v>
      </c>
      <c r="Q106" s="16" t="s">
        <v>100</v>
      </c>
    </row>
    <row r="107" customFormat="false" ht="15" hidden="false" customHeight="false" outlineLevel="0" collapsed="false">
      <c r="A107" s="16" t="n">
        <v>18464</v>
      </c>
      <c r="B107" s="16" t="s">
        <v>773</v>
      </c>
      <c r="C107" s="16" t="s">
        <v>774</v>
      </c>
      <c r="D107" s="16" t="s">
        <v>22</v>
      </c>
      <c r="E107" s="16" t="s">
        <v>94</v>
      </c>
      <c r="F107" s="16" t="s">
        <v>61</v>
      </c>
      <c r="G107" s="16" t="s">
        <v>775</v>
      </c>
      <c r="H107" s="16" t="s">
        <v>53</v>
      </c>
      <c r="I107" s="16" t="s">
        <v>30</v>
      </c>
      <c r="J107" s="16" t="s">
        <v>776</v>
      </c>
      <c r="K107" s="16" t="n">
        <v>50.7010231018066</v>
      </c>
      <c r="L107" s="16" t="n">
        <v>-2.44185304641724</v>
      </c>
      <c r="M107" s="16" t="s">
        <v>98</v>
      </c>
      <c r="N107" s="16" t="s">
        <v>777</v>
      </c>
      <c r="O107" s="16" t="s">
        <v>778</v>
      </c>
      <c r="P107" s="16" t="s">
        <v>779</v>
      </c>
      <c r="Q107" s="16" t="s">
        <v>100</v>
      </c>
    </row>
    <row r="108" customFormat="false" ht="15" hidden="false" customHeight="false" outlineLevel="0" collapsed="false">
      <c r="A108" s="16" t="n">
        <v>18466</v>
      </c>
      <c r="B108" s="16" t="s">
        <v>780</v>
      </c>
      <c r="C108" s="16" t="s">
        <v>781</v>
      </c>
      <c r="D108" s="16" t="s">
        <v>22</v>
      </c>
      <c r="E108" s="16" t="s">
        <v>94</v>
      </c>
      <c r="F108" s="16" t="s">
        <v>61</v>
      </c>
      <c r="G108" s="16" t="s">
        <v>706</v>
      </c>
      <c r="H108" s="16" t="s">
        <v>34</v>
      </c>
      <c r="I108" s="16" t="s">
        <v>34</v>
      </c>
      <c r="J108" s="16" t="s">
        <v>782</v>
      </c>
      <c r="K108" s="16" t="n">
        <v>52.4575881958008</v>
      </c>
      <c r="L108" s="16" t="n">
        <v>-1.93287801742554</v>
      </c>
      <c r="M108" s="16" t="s">
        <v>98</v>
      </c>
      <c r="N108" s="16" t="s">
        <v>783</v>
      </c>
      <c r="O108" s="16" t="s">
        <v>784</v>
      </c>
      <c r="P108" s="16" t="s">
        <v>785</v>
      </c>
      <c r="Q108" s="16" t="s">
        <v>100</v>
      </c>
    </row>
    <row r="109" customFormat="false" ht="15" hidden="false" customHeight="false" outlineLevel="0" collapsed="false">
      <c r="A109" s="16" t="n">
        <v>18467</v>
      </c>
      <c r="B109" s="16" t="s">
        <v>786</v>
      </c>
      <c r="C109" s="16" t="s">
        <v>787</v>
      </c>
      <c r="D109" s="16" t="s">
        <v>22</v>
      </c>
      <c r="E109" s="16" t="s">
        <v>94</v>
      </c>
      <c r="F109" s="16" t="s">
        <v>61</v>
      </c>
      <c r="G109" s="16" t="s">
        <v>788</v>
      </c>
      <c r="H109" s="16" t="s">
        <v>254</v>
      </c>
      <c r="I109" s="16" t="s">
        <v>32</v>
      </c>
      <c r="J109" s="16" t="s">
        <v>789</v>
      </c>
      <c r="K109" s="16" t="n">
        <v>52.2400779724121</v>
      </c>
      <c r="L109" s="16" t="n">
        <v>0.719400405883789</v>
      </c>
      <c r="M109" s="16" t="s">
        <v>98</v>
      </c>
      <c r="N109" s="16" t="s">
        <v>790</v>
      </c>
      <c r="O109" s="16" t="s">
        <v>791</v>
      </c>
      <c r="P109" s="16" t="s">
        <v>792</v>
      </c>
      <c r="Q109" s="16" t="s">
        <v>100</v>
      </c>
    </row>
    <row r="110" customFormat="false" ht="15" hidden="false" customHeight="false" outlineLevel="0" collapsed="false">
      <c r="A110" s="16" t="n">
        <v>18468</v>
      </c>
      <c r="B110" s="16" t="s">
        <v>793</v>
      </c>
      <c r="C110" s="16" t="s">
        <v>794</v>
      </c>
      <c r="D110" s="16" t="s">
        <v>22</v>
      </c>
      <c r="E110" s="16" t="s">
        <v>94</v>
      </c>
      <c r="F110" s="16" t="s">
        <v>61</v>
      </c>
      <c r="G110" s="16" t="s">
        <v>795</v>
      </c>
      <c r="H110" s="16" t="s">
        <v>54</v>
      </c>
      <c r="I110" s="16" t="s">
        <v>35</v>
      </c>
      <c r="J110" s="16" t="s">
        <v>796</v>
      </c>
      <c r="K110" s="16" t="n">
        <v>53.9875717163086</v>
      </c>
      <c r="L110" s="16" t="n">
        <v>-1.54779648780823</v>
      </c>
      <c r="M110" s="16" t="s">
        <v>98</v>
      </c>
      <c r="N110" s="16" t="s">
        <v>797</v>
      </c>
      <c r="O110" s="16" t="s">
        <v>569</v>
      </c>
      <c r="P110" s="16" t="s">
        <v>798</v>
      </c>
      <c r="Q110" s="16" t="s">
        <v>100</v>
      </c>
    </row>
    <row r="111" customFormat="false" ht="15" hidden="false" customHeight="false" outlineLevel="0" collapsed="false">
      <c r="A111" s="16" t="n">
        <v>18469</v>
      </c>
      <c r="B111" s="16" t="s">
        <v>799</v>
      </c>
      <c r="C111" s="16" t="s">
        <v>800</v>
      </c>
      <c r="D111" s="16" t="s">
        <v>22</v>
      </c>
      <c r="E111" s="16" t="s">
        <v>94</v>
      </c>
      <c r="F111" s="16" t="s">
        <v>61</v>
      </c>
      <c r="G111" s="16" t="s">
        <v>801</v>
      </c>
      <c r="H111" s="16" t="s">
        <v>50</v>
      </c>
      <c r="I111" s="16" t="s">
        <v>35</v>
      </c>
      <c r="J111" s="16" t="s">
        <v>802</v>
      </c>
      <c r="K111" s="16" t="n">
        <v>53.6583518981934</v>
      </c>
      <c r="L111" s="16" t="n">
        <v>-1.7987277507782</v>
      </c>
      <c r="M111" s="16" t="s">
        <v>98</v>
      </c>
      <c r="N111" s="16" t="s">
        <v>803</v>
      </c>
      <c r="O111" s="16" t="s">
        <v>569</v>
      </c>
      <c r="P111" s="16" t="s">
        <v>804</v>
      </c>
      <c r="Q111" s="16" t="s">
        <v>100</v>
      </c>
    </row>
    <row r="112" customFormat="false" ht="15" hidden="false" customHeight="false" outlineLevel="0" collapsed="false">
      <c r="A112" s="16" t="n">
        <v>18470</v>
      </c>
      <c r="B112" s="16" t="s">
        <v>805</v>
      </c>
      <c r="C112" s="16" t="s">
        <v>806</v>
      </c>
      <c r="D112" s="16" t="s">
        <v>22</v>
      </c>
      <c r="E112" s="16" t="s">
        <v>94</v>
      </c>
      <c r="F112" s="16" t="s">
        <v>61</v>
      </c>
      <c r="G112" s="16" t="s">
        <v>807</v>
      </c>
      <c r="H112" s="16" t="s">
        <v>47</v>
      </c>
      <c r="I112" s="16" t="s">
        <v>31</v>
      </c>
      <c r="J112" s="16" t="s">
        <v>808</v>
      </c>
      <c r="K112" s="16" t="n">
        <v>54.0431976318359</v>
      </c>
      <c r="L112" s="16" t="n">
        <v>-2.79539322853088</v>
      </c>
      <c r="M112" s="16" t="s">
        <v>98</v>
      </c>
      <c r="N112" s="16" t="s">
        <v>809</v>
      </c>
      <c r="O112" s="16" t="s">
        <v>569</v>
      </c>
      <c r="P112" s="16" t="s">
        <v>810</v>
      </c>
      <c r="Q112" s="16" t="s">
        <v>100</v>
      </c>
    </row>
    <row r="113" customFormat="false" ht="15" hidden="false" customHeight="false" outlineLevel="0" collapsed="false">
      <c r="A113" s="16" t="n">
        <v>18471</v>
      </c>
      <c r="B113" s="16" t="s">
        <v>811</v>
      </c>
      <c r="C113" s="16" t="s">
        <v>812</v>
      </c>
      <c r="D113" s="16" t="s">
        <v>22</v>
      </c>
      <c r="E113" s="16" t="s">
        <v>94</v>
      </c>
      <c r="F113" s="16" t="s">
        <v>61</v>
      </c>
      <c r="G113" s="16" t="s">
        <v>813</v>
      </c>
      <c r="H113" s="16" t="s">
        <v>814</v>
      </c>
      <c r="I113" s="16" t="s">
        <v>36</v>
      </c>
      <c r="J113" s="16" t="s">
        <v>815</v>
      </c>
      <c r="K113" s="16" t="n">
        <v>53.2380828857422</v>
      </c>
      <c r="L113" s="16" t="n">
        <v>-0.533085405826569</v>
      </c>
      <c r="M113" s="16" t="s">
        <v>98</v>
      </c>
      <c r="N113" s="16" t="s">
        <v>816</v>
      </c>
      <c r="O113" s="16"/>
      <c r="P113" s="16" t="s">
        <v>817</v>
      </c>
      <c r="Q113" s="16" t="s">
        <v>100</v>
      </c>
    </row>
    <row r="114" customFormat="false" ht="15" hidden="false" customHeight="false" outlineLevel="0" collapsed="false">
      <c r="A114" s="16" t="n">
        <v>18472</v>
      </c>
      <c r="B114" s="16" t="s">
        <v>818</v>
      </c>
      <c r="C114" s="16" t="s">
        <v>819</v>
      </c>
      <c r="D114" s="16" t="s">
        <v>22</v>
      </c>
      <c r="E114" s="16" t="s">
        <v>94</v>
      </c>
      <c r="F114" s="16" t="s">
        <v>61</v>
      </c>
      <c r="G114" s="16" t="s">
        <v>666</v>
      </c>
      <c r="H114" s="16" t="s">
        <v>595</v>
      </c>
      <c r="I114" s="16" t="s">
        <v>33</v>
      </c>
      <c r="J114" s="16" t="s">
        <v>820</v>
      </c>
      <c r="K114" s="16" t="n">
        <v>51.6592254638672</v>
      </c>
      <c r="L114" s="16" t="n">
        <v>-0.101346962153912</v>
      </c>
      <c r="M114" s="16" t="s">
        <v>98</v>
      </c>
      <c r="N114" s="16" t="s">
        <v>821</v>
      </c>
      <c r="O114" s="16" t="s">
        <v>569</v>
      </c>
      <c r="P114" s="16" t="s">
        <v>822</v>
      </c>
      <c r="Q114" s="16" t="s">
        <v>100</v>
      </c>
    </row>
    <row r="115" customFormat="false" ht="15" hidden="false" customHeight="false" outlineLevel="0" collapsed="false">
      <c r="A115" s="16" t="n">
        <v>18476</v>
      </c>
      <c r="B115" s="16" t="s">
        <v>823</v>
      </c>
      <c r="C115" s="16" t="s">
        <v>824</v>
      </c>
      <c r="D115" s="16" t="s">
        <v>22</v>
      </c>
      <c r="E115" s="16" t="s">
        <v>94</v>
      </c>
      <c r="F115" s="16" t="s">
        <v>61</v>
      </c>
      <c r="G115" s="16" t="s">
        <v>235</v>
      </c>
      <c r="H115" s="16" t="s">
        <v>46</v>
      </c>
      <c r="I115" s="16" t="s">
        <v>29</v>
      </c>
      <c r="J115" s="16" t="s">
        <v>825</v>
      </c>
      <c r="K115" s="16" t="n">
        <v>51.2357482910156</v>
      </c>
      <c r="L115" s="16" t="n">
        <v>-0.564204454421997</v>
      </c>
      <c r="M115" s="16" t="s">
        <v>98</v>
      </c>
      <c r="N115" s="16" t="s">
        <v>826</v>
      </c>
      <c r="O115" s="16" t="s">
        <v>569</v>
      </c>
      <c r="P115" s="16" t="s">
        <v>827</v>
      </c>
      <c r="Q115" s="16" t="s">
        <v>100</v>
      </c>
    </row>
    <row r="116" customFormat="false" ht="15" hidden="false" customHeight="false" outlineLevel="0" collapsed="false">
      <c r="A116" s="16" t="n">
        <v>18500</v>
      </c>
      <c r="B116" s="16" t="s">
        <v>828</v>
      </c>
      <c r="C116" s="16" t="s">
        <v>829</v>
      </c>
      <c r="D116" s="16" t="s">
        <v>22</v>
      </c>
      <c r="E116" s="16" t="s">
        <v>94</v>
      </c>
      <c r="F116" s="16" t="s">
        <v>61</v>
      </c>
      <c r="G116" s="16" t="s">
        <v>830</v>
      </c>
      <c r="H116" s="16" t="s">
        <v>49</v>
      </c>
      <c r="I116" s="16" t="s">
        <v>32</v>
      </c>
      <c r="J116" s="16" t="s">
        <v>831</v>
      </c>
      <c r="K116" s="16" t="n">
        <v>51.5500297546387</v>
      </c>
      <c r="L116" s="16" t="n">
        <v>0.69976007938385</v>
      </c>
      <c r="M116" s="16" t="s">
        <v>98</v>
      </c>
      <c r="N116" s="16" t="s">
        <v>832</v>
      </c>
      <c r="O116" s="16" t="s">
        <v>833</v>
      </c>
      <c r="P116" s="16" t="s">
        <v>834</v>
      </c>
      <c r="Q116" s="16" t="s">
        <v>100</v>
      </c>
    </row>
    <row r="117" customFormat="false" ht="15" hidden="false" customHeight="false" outlineLevel="0" collapsed="false">
      <c r="A117" s="16" t="n">
        <v>18501</v>
      </c>
      <c r="B117" s="16" t="s">
        <v>835</v>
      </c>
      <c r="C117" s="16" t="s">
        <v>836</v>
      </c>
      <c r="D117" s="16" t="s">
        <v>22</v>
      </c>
      <c r="E117" s="16" t="s">
        <v>94</v>
      </c>
      <c r="F117" s="16" t="s">
        <v>61</v>
      </c>
      <c r="G117" s="16" t="s">
        <v>837</v>
      </c>
      <c r="H117" s="16" t="s">
        <v>47</v>
      </c>
      <c r="I117" s="16" t="s">
        <v>31</v>
      </c>
      <c r="J117" s="16" t="s">
        <v>838</v>
      </c>
      <c r="K117" s="16" t="n">
        <v>53.9433288574219</v>
      </c>
      <c r="L117" s="16" t="n">
        <v>-2.26754307746887</v>
      </c>
      <c r="M117" s="16" t="s">
        <v>98</v>
      </c>
      <c r="N117" s="16" t="s">
        <v>839</v>
      </c>
      <c r="O117" s="16"/>
      <c r="P117" s="16" t="s">
        <v>840</v>
      </c>
      <c r="Q117" s="16" t="s">
        <v>100</v>
      </c>
    </row>
    <row r="118" customFormat="false" ht="15" hidden="false" customHeight="false" outlineLevel="0" collapsed="false">
      <c r="A118" s="16" t="n">
        <v>18526</v>
      </c>
      <c r="B118" s="16" t="s">
        <v>841</v>
      </c>
      <c r="C118" s="16" t="s">
        <v>842</v>
      </c>
      <c r="D118" s="16" t="s">
        <v>22</v>
      </c>
      <c r="E118" s="16" t="s">
        <v>94</v>
      </c>
      <c r="F118" s="16" t="s">
        <v>843</v>
      </c>
      <c r="G118" s="16" t="s">
        <v>844</v>
      </c>
      <c r="H118" s="16" t="s">
        <v>51</v>
      </c>
      <c r="I118" s="16" t="s">
        <v>29</v>
      </c>
      <c r="J118" s="16" t="s">
        <v>845</v>
      </c>
      <c r="K118" s="16" t="n">
        <v>50.786018371582</v>
      </c>
      <c r="L118" s="16" t="n">
        <v>-1.12463188171387</v>
      </c>
      <c r="M118" s="16" t="s">
        <v>100</v>
      </c>
      <c r="N118" s="16"/>
      <c r="O118" s="16"/>
      <c r="P118" s="16"/>
      <c r="Q118" s="16" t="s">
        <v>100</v>
      </c>
    </row>
    <row r="119" customFormat="false" ht="15" hidden="false" customHeight="false" outlineLevel="0" collapsed="false">
      <c r="A119" s="16" t="n">
        <v>18564</v>
      </c>
      <c r="B119" s="16" t="s">
        <v>846</v>
      </c>
      <c r="C119" s="16" t="s">
        <v>847</v>
      </c>
      <c r="D119" s="16" t="s">
        <v>22</v>
      </c>
      <c r="E119" s="16" t="s">
        <v>94</v>
      </c>
      <c r="F119" s="16" t="s">
        <v>848</v>
      </c>
      <c r="G119" s="16" t="s">
        <v>849</v>
      </c>
      <c r="H119" s="16" t="s">
        <v>850</v>
      </c>
      <c r="I119" s="16" t="s">
        <v>35</v>
      </c>
      <c r="J119" s="16" t="s">
        <v>851</v>
      </c>
      <c r="K119" s="16" t="n">
        <v>53.5510520935059</v>
      </c>
      <c r="L119" s="16" t="n">
        <v>-0.0738050788640975</v>
      </c>
      <c r="M119" s="16" t="s">
        <v>98</v>
      </c>
      <c r="N119" s="16" t="s">
        <v>852</v>
      </c>
      <c r="O119" s="16" t="s">
        <v>853</v>
      </c>
      <c r="P119" s="16" t="s">
        <v>854</v>
      </c>
      <c r="Q119" s="16" t="s">
        <v>100</v>
      </c>
    </row>
    <row r="120" customFormat="false" ht="15" hidden="false" customHeight="false" outlineLevel="0" collapsed="false">
      <c r="A120" s="16" t="n">
        <v>18620</v>
      </c>
      <c r="B120" s="16" t="s">
        <v>855</v>
      </c>
      <c r="C120" s="16" t="s">
        <v>856</v>
      </c>
      <c r="D120" s="16" t="s">
        <v>22</v>
      </c>
      <c r="E120" s="16" t="s">
        <v>94</v>
      </c>
      <c r="F120" s="16" t="s">
        <v>68</v>
      </c>
      <c r="G120" s="16" t="s">
        <v>857</v>
      </c>
      <c r="H120" s="16" t="s">
        <v>57</v>
      </c>
      <c r="I120" s="16" t="s">
        <v>32</v>
      </c>
      <c r="J120" s="16" t="s">
        <v>858</v>
      </c>
      <c r="K120" s="16" t="n">
        <v>51.7324104309082</v>
      </c>
      <c r="L120" s="16" t="n">
        <v>-0.498069763183594</v>
      </c>
      <c r="M120" s="16" t="s">
        <v>98</v>
      </c>
      <c r="N120" s="16" t="s">
        <v>859</v>
      </c>
      <c r="O120" s="16" t="s">
        <v>860</v>
      </c>
      <c r="P120" s="16" t="s">
        <v>861</v>
      </c>
      <c r="Q120" s="16" t="s">
        <v>100</v>
      </c>
    </row>
    <row r="121" customFormat="false" ht="15" hidden="false" customHeight="false" outlineLevel="0" collapsed="false">
      <c r="A121" s="16" t="n">
        <v>18621</v>
      </c>
      <c r="B121" s="16" t="s">
        <v>862</v>
      </c>
      <c r="C121" s="16" t="s">
        <v>863</v>
      </c>
      <c r="D121" s="16" t="s">
        <v>22</v>
      </c>
      <c r="E121" s="16" t="s">
        <v>94</v>
      </c>
      <c r="F121" s="16" t="s">
        <v>68</v>
      </c>
      <c r="G121" s="16" t="s">
        <v>863</v>
      </c>
      <c r="H121" s="16" t="s">
        <v>187</v>
      </c>
      <c r="I121" s="16" t="s">
        <v>29</v>
      </c>
      <c r="J121" s="16" t="s">
        <v>864</v>
      </c>
      <c r="K121" s="16" t="n">
        <v>50.9819259643555</v>
      </c>
      <c r="L121" s="16" t="n">
        <v>0.306597054004669</v>
      </c>
      <c r="M121" s="16" t="s">
        <v>98</v>
      </c>
      <c r="N121" s="16" t="s">
        <v>865</v>
      </c>
      <c r="O121" s="16" t="s">
        <v>866</v>
      </c>
      <c r="P121" s="16" t="s">
        <v>867</v>
      </c>
      <c r="Q121" s="16" t="s">
        <v>100</v>
      </c>
    </row>
    <row r="122" customFormat="false" ht="15" hidden="false" customHeight="false" outlineLevel="0" collapsed="false">
      <c r="A122" s="16" t="n">
        <v>18622</v>
      </c>
      <c r="B122" s="16" t="s">
        <v>868</v>
      </c>
      <c r="C122" s="16" t="s">
        <v>869</v>
      </c>
      <c r="D122" s="16" t="s">
        <v>22</v>
      </c>
      <c r="E122" s="16" t="s">
        <v>94</v>
      </c>
      <c r="F122" s="16" t="s">
        <v>68</v>
      </c>
      <c r="G122" s="16" t="s">
        <v>870</v>
      </c>
      <c r="H122" s="16" t="s">
        <v>187</v>
      </c>
      <c r="I122" s="16" t="s">
        <v>29</v>
      </c>
      <c r="J122" s="16" t="s">
        <v>871</v>
      </c>
      <c r="K122" s="16" t="n">
        <v>51.0495529174805</v>
      </c>
      <c r="L122" s="16" t="n">
        <v>0.398391991853714</v>
      </c>
      <c r="M122" s="16" t="s">
        <v>98</v>
      </c>
      <c r="N122" s="16" t="s">
        <v>872</v>
      </c>
      <c r="O122" s="16" t="s">
        <v>873</v>
      </c>
      <c r="P122" s="16" t="s">
        <v>874</v>
      </c>
      <c r="Q122" s="16" t="s">
        <v>100</v>
      </c>
    </row>
    <row r="123" customFormat="false" ht="15" hidden="false" customHeight="false" outlineLevel="0" collapsed="false">
      <c r="A123" s="16" t="n">
        <v>18624</v>
      </c>
      <c r="B123" s="16" t="s">
        <v>875</v>
      </c>
      <c r="C123" s="16" t="s">
        <v>876</v>
      </c>
      <c r="D123" s="16" t="s">
        <v>22</v>
      </c>
      <c r="E123" s="16" t="s">
        <v>94</v>
      </c>
      <c r="F123" s="16" t="s">
        <v>68</v>
      </c>
      <c r="G123" s="16" t="s">
        <v>877</v>
      </c>
      <c r="H123" s="16" t="s">
        <v>49</v>
      </c>
      <c r="I123" s="16" t="s">
        <v>32</v>
      </c>
      <c r="J123" s="16" t="s">
        <v>878</v>
      </c>
      <c r="K123" s="16" t="n">
        <v>51.7431793212891</v>
      </c>
      <c r="L123" s="16" t="n">
        <v>0.487775713205338</v>
      </c>
      <c r="M123" s="16" t="s">
        <v>98</v>
      </c>
      <c r="N123" s="16" t="s">
        <v>879</v>
      </c>
      <c r="O123" s="16" t="s">
        <v>880</v>
      </c>
      <c r="P123" s="16" t="s">
        <v>881</v>
      </c>
      <c r="Q123" s="16" t="s">
        <v>100</v>
      </c>
    </row>
    <row r="124" customFormat="false" ht="15" hidden="false" customHeight="false" outlineLevel="0" collapsed="false">
      <c r="A124" s="16" t="n">
        <v>18625</v>
      </c>
      <c r="B124" s="16" t="s">
        <v>882</v>
      </c>
      <c r="C124" s="16" t="s">
        <v>883</v>
      </c>
      <c r="D124" s="16" t="s">
        <v>22</v>
      </c>
      <c r="E124" s="16" t="s">
        <v>94</v>
      </c>
      <c r="F124" s="16" t="s">
        <v>68</v>
      </c>
      <c r="G124" s="16" t="s">
        <v>706</v>
      </c>
      <c r="H124" s="16" t="s">
        <v>34</v>
      </c>
      <c r="I124" s="16" t="s">
        <v>34</v>
      </c>
      <c r="J124" s="16" t="s">
        <v>884</v>
      </c>
      <c r="K124" s="16" t="n">
        <v>52.4716949462891</v>
      </c>
      <c r="L124" s="16" t="n">
        <v>-1.9558070898056</v>
      </c>
      <c r="M124" s="16" t="s">
        <v>98</v>
      </c>
      <c r="N124" s="16" t="s">
        <v>885</v>
      </c>
      <c r="O124" s="16" t="s">
        <v>886</v>
      </c>
      <c r="P124" s="16" t="s">
        <v>887</v>
      </c>
      <c r="Q124" s="16" t="s">
        <v>100</v>
      </c>
    </row>
    <row r="125" customFormat="false" ht="15" hidden="false" customHeight="false" outlineLevel="0" collapsed="false">
      <c r="A125" s="16" t="n">
        <v>18626</v>
      </c>
      <c r="B125" s="16" t="s">
        <v>888</v>
      </c>
      <c r="C125" s="16" t="s">
        <v>889</v>
      </c>
      <c r="D125" s="16" t="s">
        <v>22</v>
      </c>
      <c r="E125" s="16" t="s">
        <v>94</v>
      </c>
      <c r="F125" s="16" t="s">
        <v>68</v>
      </c>
      <c r="G125" s="16" t="s">
        <v>890</v>
      </c>
      <c r="H125" s="16" t="s">
        <v>45</v>
      </c>
      <c r="I125" s="16" t="s">
        <v>29</v>
      </c>
      <c r="J125" s="16" t="s">
        <v>891</v>
      </c>
      <c r="K125" s="16" t="n">
        <v>51.3730812072754</v>
      </c>
      <c r="L125" s="16" t="n">
        <v>0.0145953521132469</v>
      </c>
      <c r="M125" s="16" t="s">
        <v>98</v>
      </c>
      <c r="N125" s="16" t="s">
        <v>892</v>
      </c>
      <c r="O125" s="16" t="s">
        <v>893</v>
      </c>
      <c r="P125" s="16" t="s">
        <v>894</v>
      </c>
      <c r="Q125" s="16" t="s">
        <v>100</v>
      </c>
    </row>
    <row r="126" customFormat="false" ht="15" hidden="false" customHeight="false" outlineLevel="0" collapsed="false">
      <c r="A126" s="16" t="n">
        <v>18627</v>
      </c>
      <c r="B126" s="16" t="s">
        <v>895</v>
      </c>
      <c r="C126" s="16" t="s">
        <v>896</v>
      </c>
      <c r="D126" s="16" t="s">
        <v>22</v>
      </c>
      <c r="E126" s="16" t="s">
        <v>94</v>
      </c>
      <c r="F126" s="16" t="s">
        <v>68</v>
      </c>
      <c r="G126" s="16" t="s">
        <v>33</v>
      </c>
      <c r="H126" s="16" t="s">
        <v>44</v>
      </c>
      <c r="I126" s="16" t="s">
        <v>33</v>
      </c>
      <c r="J126" s="16" t="s">
        <v>897</v>
      </c>
      <c r="K126" s="16" t="n">
        <v>51.4625396728516</v>
      </c>
      <c r="L126" s="16" t="n">
        <v>-0.251494705677033</v>
      </c>
      <c r="M126" s="16" t="s">
        <v>98</v>
      </c>
      <c r="N126" s="16" t="s">
        <v>898</v>
      </c>
      <c r="O126" s="16" t="s">
        <v>899</v>
      </c>
      <c r="P126" s="16" t="s">
        <v>900</v>
      </c>
      <c r="Q126" s="16" t="s">
        <v>100</v>
      </c>
    </row>
    <row r="127" customFormat="false" ht="15" hidden="false" customHeight="false" outlineLevel="0" collapsed="false">
      <c r="A127" s="16" t="n">
        <v>18628</v>
      </c>
      <c r="B127" s="16" t="s">
        <v>901</v>
      </c>
      <c r="C127" s="16" t="s">
        <v>902</v>
      </c>
      <c r="D127" s="16" t="s">
        <v>22</v>
      </c>
      <c r="E127" s="16" t="s">
        <v>94</v>
      </c>
      <c r="F127" s="16" t="s">
        <v>68</v>
      </c>
      <c r="G127" s="16" t="s">
        <v>103</v>
      </c>
      <c r="H127" s="16" t="s">
        <v>46</v>
      </c>
      <c r="I127" s="16" t="s">
        <v>29</v>
      </c>
      <c r="J127" s="16" t="s">
        <v>903</v>
      </c>
      <c r="K127" s="16" t="n">
        <v>51.31982421875</v>
      </c>
      <c r="L127" s="16" t="n">
        <v>-0.622614145278931</v>
      </c>
      <c r="M127" s="16" t="s">
        <v>98</v>
      </c>
      <c r="N127" s="16" t="s">
        <v>904</v>
      </c>
      <c r="O127" s="16" t="s">
        <v>905</v>
      </c>
      <c r="P127" s="16" t="s">
        <v>906</v>
      </c>
      <c r="Q127" s="16" t="s">
        <v>100</v>
      </c>
    </row>
    <row r="128" customFormat="false" ht="15" hidden="false" customHeight="false" outlineLevel="0" collapsed="false">
      <c r="A128" s="16" t="n">
        <v>18629</v>
      </c>
      <c r="B128" s="16" t="s">
        <v>907</v>
      </c>
      <c r="C128" s="16" t="s">
        <v>908</v>
      </c>
      <c r="D128" s="16" t="s">
        <v>22</v>
      </c>
      <c r="E128" s="16" t="s">
        <v>94</v>
      </c>
      <c r="F128" s="16" t="s">
        <v>68</v>
      </c>
      <c r="G128" s="16" t="s">
        <v>353</v>
      </c>
      <c r="H128" s="16" t="s">
        <v>51</v>
      </c>
      <c r="I128" s="16" t="s">
        <v>29</v>
      </c>
      <c r="J128" s="16" t="s">
        <v>909</v>
      </c>
      <c r="K128" s="16" t="n">
        <v>50.8796310424805</v>
      </c>
      <c r="L128" s="16" t="n">
        <v>-1.44760763645172</v>
      </c>
      <c r="M128" s="16" t="s">
        <v>98</v>
      </c>
      <c r="N128" s="16" t="s">
        <v>910</v>
      </c>
      <c r="O128" s="16" t="s">
        <v>911</v>
      </c>
      <c r="P128" s="16" t="s">
        <v>912</v>
      </c>
      <c r="Q128" s="16" t="s">
        <v>100</v>
      </c>
    </row>
    <row r="129" customFormat="false" ht="15" hidden="false" customHeight="false" outlineLevel="0" collapsed="false">
      <c r="A129" s="16" t="n">
        <v>18630</v>
      </c>
      <c r="B129" s="16" t="s">
        <v>913</v>
      </c>
      <c r="C129" s="16" t="s">
        <v>914</v>
      </c>
      <c r="D129" s="16" t="s">
        <v>22</v>
      </c>
      <c r="E129" s="16" t="s">
        <v>94</v>
      </c>
      <c r="F129" s="16" t="s">
        <v>68</v>
      </c>
      <c r="G129" s="16" t="s">
        <v>915</v>
      </c>
      <c r="H129" s="16" t="s">
        <v>55</v>
      </c>
      <c r="I129" s="16" t="s">
        <v>31</v>
      </c>
      <c r="J129" s="16" t="s">
        <v>916</v>
      </c>
      <c r="K129" s="16" t="n">
        <v>53.3655776977539</v>
      </c>
      <c r="L129" s="16" t="n">
        <v>-2.33195185661316</v>
      </c>
      <c r="M129" s="16" t="s">
        <v>98</v>
      </c>
      <c r="N129" s="16" t="s">
        <v>917</v>
      </c>
      <c r="O129" s="16" t="s">
        <v>918</v>
      </c>
      <c r="P129" s="16" t="s">
        <v>919</v>
      </c>
      <c r="Q129" s="16" t="s">
        <v>100</v>
      </c>
    </row>
    <row r="130" customFormat="false" ht="15" hidden="false" customHeight="false" outlineLevel="0" collapsed="false">
      <c r="A130" s="16" t="n">
        <v>18631</v>
      </c>
      <c r="B130" s="16" t="s">
        <v>920</v>
      </c>
      <c r="C130" s="16" t="s">
        <v>921</v>
      </c>
      <c r="D130" s="16" t="s">
        <v>22</v>
      </c>
      <c r="E130" s="16" t="s">
        <v>94</v>
      </c>
      <c r="F130" s="16" t="s">
        <v>68</v>
      </c>
      <c r="G130" s="16" t="s">
        <v>922</v>
      </c>
      <c r="H130" s="16" t="s">
        <v>47</v>
      </c>
      <c r="I130" s="16" t="s">
        <v>31</v>
      </c>
      <c r="J130" s="16" t="s">
        <v>923</v>
      </c>
      <c r="K130" s="16" t="n">
        <v>53.8007659912109</v>
      </c>
      <c r="L130" s="16" t="n">
        <v>-2.78384256362915</v>
      </c>
      <c r="M130" s="16" t="s">
        <v>98</v>
      </c>
      <c r="N130" s="16" t="s">
        <v>924</v>
      </c>
      <c r="O130" s="16" t="s">
        <v>925</v>
      </c>
      <c r="P130" s="16" t="s">
        <v>926</v>
      </c>
      <c r="Q130" s="16" t="s">
        <v>100</v>
      </c>
    </row>
    <row r="131" customFormat="false" ht="15" hidden="false" customHeight="false" outlineLevel="0" collapsed="false">
      <c r="A131" s="16" t="n">
        <v>18632</v>
      </c>
      <c r="B131" s="16" t="s">
        <v>927</v>
      </c>
      <c r="C131" s="16" t="s">
        <v>928</v>
      </c>
      <c r="D131" s="16" t="s">
        <v>22</v>
      </c>
      <c r="E131" s="16" t="s">
        <v>94</v>
      </c>
      <c r="F131" s="16" t="s">
        <v>68</v>
      </c>
      <c r="G131" s="16" t="s">
        <v>33</v>
      </c>
      <c r="H131" s="16" t="s">
        <v>44</v>
      </c>
      <c r="I131" s="16" t="s">
        <v>33</v>
      </c>
      <c r="J131" s="16" t="s">
        <v>929</v>
      </c>
      <c r="K131" s="16" t="n">
        <v>51.6302719116211</v>
      </c>
      <c r="L131" s="16" t="n">
        <v>-0.120334625244141</v>
      </c>
      <c r="M131" s="16" t="s">
        <v>98</v>
      </c>
      <c r="N131" s="16" t="s">
        <v>930</v>
      </c>
      <c r="O131" s="16" t="s">
        <v>931</v>
      </c>
      <c r="P131" s="16" t="s">
        <v>932</v>
      </c>
      <c r="Q131" s="16" t="s">
        <v>100</v>
      </c>
    </row>
    <row r="132" customFormat="false" ht="15" hidden="false" customHeight="false" outlineLevel="0" collapsed="false">
      <c r="A132" s="16" t="n">
        <v>18634</v>
      </c>
      <c r="B132" s="16" t="s">
        <v>933</v>
      </c>
      <c r="C132" s="16" t="s">
        <v>934</v>
      </c>
      <c r="D132" s="16" t="s">
        <v>22</v>
      </c>
      <c r="E132" s="16" t="s">
        <v>94</v>
      </c>
      <c r="F132" s="16" t="s">
        <v>68</v>
      </c>
      <c r="G132" s="16" t="s">
        <v>566</v>
      </c>
      <c r="H132" s="16" t="s">
        <v>55</v>
      </c>
      <c r="I132" s="16" t="s">
        <v>31</v>
      </c>
      <c r="J132" s="16" t="s">
        <v>935</v>
      </c>
      <c r="K132" s="16" t="n">
        <v>53.3749389648438</v>
      </c>
      <c r="L132" s="16" t="n">
        <v>-2.2214720249176</v>
      </c>
      <c r="M132" s="16" t="s">
        <v>98</v>
      </c>
      <c r="N132" s="16" t="s">
        <v>936</v>
      </c>
      <c r="O132" s="16" t="s">
        <v>937</v>
      </c>
      <c r="P132" s="16" t="s">
        <v>938</v>
      </c>
      <c r="Q132" s="16" t="s">
        <v>100</v>
      </c>
    </row>
    <row r="133" customFormat="false" ht="15" hidden="false" customHeight="false" outlineLevel="0" collapsed="false">
      <c r="A133" s="16" t="n">
        <v>18635</v>
      </c>
      <c r="B133" s="16" t="s">
        <v>939</v>
      </c>
      <c r="C133" s="16" t="s">
        <v>940</v>
      </c>
      <c r="D133" s="16" t="s">
        <v>22</v>
      </c>
      <c r="E133" s="16" t="s">
        <v>94</v>
      </c>
      <c r="F133" s="16" t="s">
        <v>68</v>
      </c>
      <c r="G133" s="16" t="s">
        <v>941</v>
      </c>
      <c r="H133" s="16" t="s">
        <v>942</v>
      </c>
      <c r="I133" s="16" t="s">
        <v>37</v>
      </c>
      <c r="J133" s="16" t="s">
        <v>943</v>
      </c>
      <c r="K133" s="16" t="n">
        <v>54.5171089172363</v>
      </c>
      <c r="L133" s="16" t="n">
        <v>-1.43314242362976</v>
      </c>
      <c r="M133" s="16" t="s">
        <v>98</v>
      </c>
      <c r="N133" s="16" t="s">
        <v>944</v>
      </c>
      <c r="O133" s="16" t="s">
        <v>945</v>
      </c>
      <c r="P133" s="16" t="s">
        <v>946</v>
      </c>
      <c r="Q133" s="16" t="s">
        <v>100</v>
      </c>
    </row>
    <row r="134" customFormat="false" ht="15" hidden="false" customHeight="false" outlineLevel="0" collapsed="false">
      <c r="A134" s="16" t="n">
        <v>18653</v>
      </c>
      <c r="B134" s="16" t="s">
        <v>947</v>
      </c>
      <c r="C134" s="16" t="s">
        <v>948</v>
      </c>
      <c r="D134" s="16" t="s">
        <v>22</v>
      </c>
      <c r="E134" s="16" t="s">
        <v>94</v>
      </c>
      <c r="F134" s="16" t="s">
        <v>68</v>
      </c>
      <c r="G134" s="16" t="s">
        <v>192</v>
      </c>
      <c r="H134" s="16" t="s">
        <v>56</v>
      </c>
      <c r="I134" s="16" t="s">
        <v>30</v>
      </c>
      <c r="J134" s="16" t="s">
        <v>949</v>
      </c>
      <c r="K134" s="16" t="n">
        <v>51.479736328125</v>
      </c>
      <c r="L134" s="16" t="n">
        <v>-2.56675744056702</v>
      </c>
      <c r="M134" s="16" t="s">
        <v>98</v>
      </c>
      <c r="N134" s="16" t="s">
        <v>950</v>
      </c>
      <c r="O134" s="16" t="s">
        <v>951</v>
      </c>
      <c r="P134" s="16" t="s">
        <v>952</v>
      </c>
      <c r="Q134" s="16" t="s">
        <v>100</v>
      </c>
    </row>
    <row r="135" customFormat="false" ht="15" hidden="false" customHeight="false" outlineLevel="0" collapsed="false">
      <c r="A135" s="16" t="n">
        <v>18656</v>
      </c>
      <c r="B135" s="16" t="s">
        <v>953</v>
      </c>
      <c r="C135" s="16" t="s">
        <v>954</v>
      </c>
      <c r="D135" s="16" t="s">
        <v>22</v>
      </c>
      <c r="E135" s="16" t="s">
        <v>94</v>
      </c>
      <c r="F135" s="16" t="s">
        <v>955</v>
      </c>
      <c r="G135" s="16" t="s">
        <v>353</v>
      </c>
      <c r="H135" s="16" t="s">
        <v>51</v>
      </c>
      <c r="I135" s="16" t="s">
        <v>29</v>
      </c>
      <c r="J135" s="16" t="s">
        <v>956</v>
      </c>
      <c r="K135" s="16" t="n">
        <v>50.9123916625977</v>
      </c>
      <c r="L135" s="16" t="n">
        <v>-1.39706242084503</v>
      </c>
      <c r="M135" s="16" t="s">
        <v>98</v>
      </c>
      <c r="N135" s="16" t="s">
        <v>957</v>
      </c>
      <c r="O135" s="16"/>
      <c r="P135" s="16" t="s">
        <v>958</v>
      </c>
      <c r="Q135" s="16" t="s">
        <v>100</v>
      </c>
    </row>
    <row r="136" customFormat="false" ht="15" hidden="false" customHeight="false" outlineLevel="0" collapsed="false">
      <c r="A136" s="16" t="n">
        <v>18660</v>
      </c>
      <c r="B136" s="16" t="s">
        <v>959</v>
      </c>
      <c r="C136" s="16" t="s">
        <v>960</v>
      </c>
      <c r="D136" s="16" t="s">
        <v>22</v>
      </c>
      <c r="E136" s="16" t="s">
        <v>94</v>
      </c>
      <c r="F136" s="16" t="s">
        <v>955</v>
      </c>
      <c r="G136" s="16" t="s">
        <v>401</v>
      </c>
      <c r="H136" s="16" t="s">
        <v>49</v>
      </c>
      <c r="I136" s="16" t="s">
        <v>32</v>
      </c>
      <c r="J136" s="16" t="s">
        <v>961</v>
      </c>
      <c r="K136" s="16" t="n">
        <v>51.5805435180664</v>
      </c>
      <c r="L136" s="16" t="n">
        <v>0.112121284008026</v>
      </c>
      <c r="M136" s="16" t="s">
        <v>98</v>
      </c>
      <c r="N136" s="16" t="s">
        <v>962</v>
      </c>
      <c r="O136" s="16" t="s">
        <v>963</v>
      </c>
      <c r="P136" s="16" t="s">
        <v>964</v>
      </c>
      <c r="Q136" s="16" t="s">
        <v>100</v>
      </c>
    </row>
    <row r="137" customFormat="false" ht="15" hidden="false" customHeight="false" outlineLevel="0" collapsed="false">
      <c r="A137" s="16" t="n">
        <v>18758</v>
      </c>
      <c r="B137" s="16" t="s">
        <v>965</v>
      </c>
      <c r="C137" s="16" t="s">
        <v>966</v>
      </c>
      <c r="D137" s="16" t="s">
        <v>22</v>
      </c>
      <c r="E137" s="16" t="s">
        <v>94</v>
      </c>
      <c r="F137" s="16" t="s">
        <v>967</v>
      </c>
      <c r="G137" s="16" t="s">
        <v>968</v>
      </c>
      <c r="H137" s="16" t="s">
        <v>55</v>
      </c>
      <c r="I137" s="16" t="s">
        <v>31</v>
      </c>
      <c r="J137" s="16" t="s">
        <v>969</v>
      </c>
      <c r="K137" s="16" t="n">
        <v>53.1592216491699</v>
      </c>
      <c r="L137" s="16" t="n">
        <v>-2.66672348976135</v>
      </c>
      <c r="M137" s="16" t="s">
        <v>98</v>
      </c>
      <c r="N137" s="16" t="s">
        <v>970</v>
      </c>
      <c r="O137" s="16"/>
      <c r="P137" s="16"/>
      <c r="Q137" s="16" t="s">
        <v>100</v>
      </c>
    </row>
    <row r="138" customFormat="false" ht="15" hidden="false" customHeight="false" outlineLevel="0" collapsed="false">
      <c r="A138" s="16" t="n">
        <v>18761</v>
      </c>
      <c r="B138" s="16" t="s">
        <v>971</v>
      </c>
      <c r="C138" s="16" t="s">
        <v>972</v>
      </c>
      <c r="D138" s="16" t="s">
        <v>22</v>
      </c>
      <c r="E138" s="16" t="s">
        <v>94</v>
      </c>
      <c r="F138" s="16" t="s">
        <v>61</v>
      </c>
      <c r="G138" s="16" t="s">
        <v>941</v>
      </c>
      <c r="H138" s="16" t="s">
        <v>942</v>
      </c>
      <c r="I138" s="16" t="s">
        <v>37</v>
      </c>
      <c r="J138" s="16" t="s">
        <v>973</v>
      </c>
      <c r="K138" s="16" t="n">
        <v>54.5203628540039</v>
      </c>
      <c r="L138" s="16" t="n">
        <v>-1.50465571880341</v>
      </c>
      <c r="M138" s="16" t="s">
        <v>98</v>
      </c>
      <c r="N138" s="16" t="s">
        <v>974</v>
      </c>
      <c r="O138" s="16" t="s">
        <v>975</v>
      </c>
      <c r="P138" s="16" t="s">
        <v>976</v>
      </c>
      <c r="Q138" s="16" t="s">
        <v>100</v>
      </c>
    </row>
    <row r="139" customFormat="false" ht="15" hidden="false" customHeight="false" outlineLevel="0" collapsed="false">
      <c r="A139" s="16" t="n">
        <v>18765</v>
      </c>
      <c r="B139" s="16" t="s">
        <v>977</v>
      </c>
      <c r="C139" s="16" t="s">
        <v>978</v>
      </c>
      <c r="D139" s="16" t="s">
        <v>22</v>
      </c>
      <c r="E139" s="16" t="s">
        <v>94</v>
      </c>
      <c r="F139" s="16" t="s">
        <v>979</v>
      </c>
      <c r="G139" s="16" t="s">
        <v>706</v>
      </c>
      <c r="H139" s="16" t="s">
        <v>34</v>
      </c>
      <c r="I139" s="16" t="s">
        <v>34</v>
      </c>
      <c r="J139" s="16" t="s">
        <v>980</v>
      </c>
      <c r="K139" s="16" t="n">
        <v>52.4866409301758</v>
      </c>
      <c r="L139" s="16" t="n">
        <v>-1.8909375667572</v>
      </c>
      <c r="M139" s="16" t="s">
        <v>98</v>
      </c>
      <c r="N139" s="16" t="s">
        <v>981</v>
      </c>
      <c r="O139" s="16" t="s">
        <v>982</v>
      </c>
      <c r="P139" s="16" t="s">
        <v>983</v>
      </c>
      <c r="Q139" s="16" t="s">
        <v>100</v>
      </c>
    </row>
    <row r="140" customFormat="false" ht="15" hidden="false" customHeight="false" outlineLevel="0" collapsed="false">
      <c r="A140" s="16" t="n">
        <v>18789</v>
      </c>
      <c r="B140" s="16" t="s">
        <v>984</v>
      </c>
      <c r="C140" s="16" t="s">
        <v>985</v>
      </c>
      <c r="D140" s="16" t="s">
        <v>22</v>
      </c>
      <c r="E140" s="16" t="s">
        <v>94</v>
      </c>
      <c r="F140" s="16" t="s">
        <v>986</v>
      </c>
      <c r="G140" s="16" t="s">
        <v>987</v>
      </c>
      <c r="H140" s="16" t="s">
        <v>510</v>
      </c>
      <c r="I140" s="16" t="s">
        <v>29</v>
      </c>
      <c r="J140" s="16" t="s">
        <v>988</v>
      </c>
      <c r="K140" s="16" t="n">
        <v>51.5187950134277</v>
      </c>
      <c r="L140" s="16" t="n">
        <v>-0.659095942974091</v>
      </c>
      <c r="M140" s="16" t="s">
        <v>98</v>
      </c>
      <c r="N140" s="16" t="s">
        <v>989</v>
      </c>
      <c r="O140" s="16" t="s">
        <v>990</v>
      </c>
      <c r="P140" s="16" t="s">
        <v>991</v>
      </c>
      <c r="Q140" s="16" t="s">
        <v>100</v>
      </c>
    </row>
    <row r="141" customFormat="false" ht="15" hidden="false" customHeight="false" outlineLevel="0" collapsed="false">
      <c r="A141" s="16" t="n">
        <v>18791</v>
      </c>
      <c r="B141" s="16" t="s">
        <v>992</v>
      </c>
      <c r="C141" s="16" t="s">
        <v>993</v>
      </c>
      <c r="D141" s="16" t="s">
        <v>22</v>
      </c>
      <c r="E141" s="16" t="s">
        <v>94</v>
      </c>
      <c r="F141" s="16" t="s">
        <v>986</v>
      </c>
      <c r="G141" s="16" t="s">
        <v>994</v>
      </c>
      <c r="H141" s="16" t="s">
        <v>285</v>
      </c>
      <c r="I141" s="16" t="s">
        <v>34</v>
      </c>
      <c r="J141" s="16" t="s">
        <v>995</v>
      </c>
      <c r="K141" s="16" t="n">
        <v>52.6944122314453</v>
      </c>
      <c r="L141" s="16" t="n">
        <v>-2.23326301574707</v>
      </c>
      <c r="M141" s="16" t="s">
        <v>98</v>
      </c>
      <c r="N141" s="16" t="s">
        <v>996</v>
      </c>
      <c r="O141" s="16" t="s">
        <v>997</v>
      </c>
      <c r="P141" s="16" t="s">
        <v>998</v>
      </c>
      <c r="Q141" s="16" t="s">
        <v>100</v>
      </c>
    </row>
    <row r="142" customFormat="false" ht="15" hidden="false" customHeight="false" outlineLevel="0" collapsed="false">
      <c r="A142" s="16" t="n">
        <v>18802</v>
      </c>
      <c r="B142" s="16" t="s">
        <v>999</v>
      </c>
      <c r="C142" s="16" t="s">
        <v>1000</v>
      </c>
      <c r="D142" s="16" t="s">
        <v>22</v>
      </c>
      <c r="E142" s="16" t="s">
        <v>94</v>
      </c>
      <c r="F142" s="16" t="s">
        <v>1001</v>
      </c>
      <c r="G142" s="16" t="s">
        <v>573</v>
      </c>
      <c r="H142" s="16" t="s">
        <v>56</v>
      </c>
      <c r="I142" s="16" t="s">
        <v>30</v>
      </c>
      <c r="J142" s="16" t="s">
        <v>1002</v>
      </c>
      <c r="K142" s="16" t="n">
        <v>51.311710357666</v>
      </c>
      <c r="L142" s="16" t="n">
        <v>-2.41733407974243</v>
      </c>
      <c r="M142" s="16" t="s">
        <v>98</v>
      </c>
      <c r="N142" s="16" t="s">
        <v>1003</v>
      </c>
      <c r="O142" s="16"/>
      <c r="P142" s="16" t="s">
        <v>1004</v>
      </c>
      <c r="Q142" s="16" t="s">
        <v>100</v>
      </c>
    </row>
    <row r="143" customFormat="false" ht="15" hidden="false" customHeight="false" outlineLevel="0" collapsed="false">
      <c r="A143" s="16" t="n">
        <v>18807</v>
      </c>
      <c r="B143" s="16" t="s">
        <v>1005</v>
      </c>
      <c r="C143" s="16" t="s">
        <v>1006</v>
      </c>
      <c r="D143" s="16" t="s">
        <v>22</v>
      </c>
      <c r="E143" s="16" t="s">
        <v>94</v>
      </c>
      <c r="F143" s="16" t="s">
        <v>1001</v>
      </c>
      <c r="G143" s="16" t="s">
        <v>517</v>
      </c>
      <c r="H143" s="16" t="s">
        <v>510</v>
      </c>
      <c r="I143" s="16" t="s">
        <v>29</v>
      </c>
      <c r="J143" s="16" t="s">
        <v>1007</v>
      </c>
      <c r="K143" s="16" t="n">
        <v>51.4293327331543</v>
      </c>
      <c r="L143" s="16" t="n">
        <v>-0.976393759250641</v>
      </c>
      <c r="M143" s="16" t="s">
        <v>98</v>
      </c>
      <c r="N143" s="16" t="s">
        <v>1008</v>
      </c>
      <c r="O143" s="16" t="s">
        <v>1009</v>
      </c>
      <c r="P143" s="16" t="s">
        <v>1010</v>
      </c>
      <c r="Q143" s="16" t="s">
        <v>100</v>
      </c>
    </row>
    <row r="144" customFormat="false" ht="15" hidden="false" customHeight="false" outlineLevel="0" collapsed="false">
      <c r="A144" s="16" t="n">
        <v>18819</v>
      </c>
      <c r="B144" s="16" t="s">
        <v>1011</v>
      </c>
      <c r="C144" s="16" t="s">
        <v>1012</v>
      </c>
      <c r="D144" s="16" t="s">
        <v>22</v>
      </c>
      <c r="E144" s="16" t="s">
        <v>94</v>
      </c>
      <c r="F144" s="16" t="s">
        <v>1013</v>
      </c>
      <c r="G144" s="16" t="s">
        <v>33</v>
      </c>
      <c r="H144" s="16" t="s">
        <v>44</v>
      </c>
      <c r="I144" s="16" t="s">
        <v>33</v>
      </c>
      <c r="J144" s="16" t="s">
        <v>1014</v>
      </c>
      <c r="K144" s="16" t="n">
        <v>51.4951057434082</v>
      </c>
      <c r="L144" s="16" t="n">
        <v>-0.191370829939842</v>
      </c>
      <c r="M144" s="16" t="s">
        <v>98</v>
      </c>
      <c r="N144" s="16" t="s">
        <v>1015</v>
      </c>
      <c r="O144" s="16" t="s">
        <v>1016</v>
      </c>
      <c r="P144" s="16" t="s">
        <v>1017</v>
      </c>
      <c r="Q144" s="16" t="s">
        <v>100</v>
      </c>
    </row>
    <row r="145" customFormat="false" ht="15" hidden="false" customHeight="false" outlineLevel="0" collapsed="false">
      <c r="A145" s="16" t="n">
        <v>18826</v>
      </c>
      <c r="B145" s="16" t="s">
        <v>1018</v>
      </c>
      <c r="C145" s="16" t="s">
        <v>1019</v>
      </c>
      <c r="D145" s="16" t="s">
        <v>22</v>
      </c>
      <c r="E145" s="16" t="s">
        <v>94</v>
      </c>
      <c r="F145" s="16" t="s">
        <v>63</v>
      </c>
      <c r="G145" s="16" t="s">
        <v>1020</v>
      </c>
      <c r="H145" s="16" t="s">
        <v>46</v>
      </c>
      <c r="I145" s="16" t="s">
        <v>29</v>
      </c>
      <c r="J145" s="16" t="s">
        <v>1021</v>
      </c>
      <c r="K145" s="16" t="n">
        <v>51.3043403625488</v>
      </c>
      <c r="L145" s="16" t="n">
        <v>-0.303277969360352</v>
      </c>
      <c r="M145" s="16" t="s">
        <v>98</v>
      </c>
      <c r="N145" s="16" t="s">
        <v>1022</v>
      </c>
      <c r="O145" s="16" t="s">
        <v>1023</v>
      </c>
      <c r="P145" s="16" t="s">
        <v>1024</v>
      </c>
      <c r="Q145" s="16" t="s">
        <v>100</v>
      </c>
    </row>
    <row r="146" customFormat="false" ht="15" hidden="false" customHeight="false" outlineLevel="0" collapsed="false">
      <c r="A146" s="16" t="n">
        <v>18827</v>
      </c>
      <c r="B146" s="16" t="s">
        <v>1025</v>
      </c>
      <c r="C146" s="16" t="s">
        <v>1026</v>
      </c>
      <c r="D146" s="16" t="s">
        <v>22</v>
      </c>
      <c r="E146" s="16" t="s">
        <v>94</v>
      </c>
      <c r="F146" s="16" t="s">
        <v>63</v>
      </c>
      <c r="G146" s="16" t="s">
        <v>517</v>
      </c>
      <c r="H146" s="16" t="s">
        <v>510</v>
      </c>
      <c r="I146" s="16" t="s">
        <v>29</v>
      </c>
      <c r="J146" s="16" t="s">
        <v>1027</v>
      </c>
      <c r="K146" s="16" t="n">
        <v>51.4445495605469</v>
      </c>
      <c r="L146" s="16" t="n">
        <v>-0.988298833370209</v>
      </c>
      <c r="M146" s="16" t="s">
        <v>98</v>
      </c>
      <c r="N146" s="16" t="s">
        <v>1028</v>
      </c>
      <c r="O146" s="16" t="s">
        <v>1029</v>
      </c>
      <c r="P146" s="16" t="s">
        <v>1030</v>
      </c>
      <c r="Q146" s="16" t="s">
        <v>100</v>
      </c>
    </row>
    <row r="147" customFormat="false" ht="15" hidden="false" customHeight="false" outlineLevel="0" collapsed="false">
      <c r="A147" s="16" t="n">
        <v>18829</v>
      </c>
      <c r="B147" s="16" t="s">
        <v>1031</v>
      </c>
      <c r="C147" s="16" t="s">
        <v>1032</v>
      </c>
      <c r="D147" s="16" t="s">
        <v>22</v>
      </c>
      <c r="E147" s="16" t="s">
        <v>94</v>
      </c>
      <c r="F147" s="16" t="s">
        <v>63</v>
      </c>
      <c r="G147" s="16" t="s">
        <v>1033</v>
      </c>
      <c r="H147" s="16" t="s">
        <v>1034</v>
      </c>
      <c r="I147" s="16" t="s">
        <v>30</v>
      </c>
      <c r="J147" s="16" t="s">
        <v>1035</v>
      </c>
      <c r="K147" s="16" t="n">
        <v>50.2679443359375</v>
      </c>
      <c r="L147" s="16" t="n">
        <v>-5.09355354309082</v>
      </c>
      <c r="M147" s="16" t="s">
        <v>98</v>
      </c>
      <c r="N147" s="16" t="s">
        <v>1036</v>
      </c>
      <c r="O147" s="16" t="s">
        <v>1037</v>
      </c>
      <c r="P147" s="16" t="s">
        <v>1038</v>
      </c>
      <c r="Q147" s="16" t="s">
        <v>100</v>
      </c>
    </row>
    <row r="148" customFormat="false" ht="15" hidden="false" customHeight="false" outlineLevel="0" collapsed="false">
      <c r="A148" s="16" t="n">
        <v>18830</v>
      </c>
      <c r="B148" s="16" t="s">
        <v>1039</v>
      </c>
      <c r="C148" s="16" t="s">
        <v>1040</v>
      </c>
      <c r="D148" s="16" t="s">
        <v>22</v>
      </c>
      <c r="E148" s="16" t="s">
        <v>94</v>
      </c>
      <c r="F148" s="16" t="s">
        <v>63</v>
      </c>
      <c r="G148" s="16" t="s">
        <v>1041</v>
      </c>
      <c r="H148" s="16" t="s">
        <v>47</v>
      </c>
      <c r="I148" s="16" t="s">
        <v>31</v>
      </c>
      <c r="J148" s="16" t="s">
        <v>1042</v>
      </c>
      <c r="K148" s="16" t="n">
        <v>53.6609535217285</v>
      </c>
      <c r="L148" s="16" t="n">
        <v>-2.67629885673523</v>
      </c>
      <c r="M148" s="16" t="s">
        <v>98</v>
      </c>
      <c r="N148" s="16" t="s">
        <v>1043</v>
      </c>
      <c r="O148" s="16" t="s">
        <v>1044</v>
      </c>
      <c r="P148" s="16" t="s">
        <v>1045</v>
      </c>
      <c r="Q148" s="16" t="s">
        <v>100</v>
      </c>
    </row>
    <row r="149" customFormat="false" ht="15" hidden="false" customHeight="false" outlineLevel="0" collapsed="false">
      <c r="A149" s="16" t="n">
        <v>18831</v>
      </c>
      <c r="B149" s="16" t="s">
        <v>1046</v>
      </c>
      <c r="C149" s="16" t="s">
        <v>1047</v>
      </c>
      <c r="D149" s="16" t="s">
        <v>22</v>
      </c>
      <c r="E149" s="16" t="s">
        <v>94</v>
      </c>
      <c r="F149" s="16" t="s">
        <v>63</v>
      </c>
      <c r="G149" s="16" t="s">
        <v>156</v>
      </c>
      <c r="H149" s="16" t="s">
        <v>157</v>
      </c>
      <c r="I149" s="16" t="s">
        <v>32</v>
      </c>
      <c r="J149" s="16" t="s">
        <v>1048</v>
      </c>
      <c r="K149" s="16" t="n">
        <v>52.5764694213867</v>
      </c>
      <c r="L149" s="16" t="n">
        <v>-0.297534763813019</v>
      </c>
      <c r="M149" s="16" t="s">
        <v>98</v>
      </c>
      <c r="N149" s="16" t="s">
        <v>1049</v>
      </c>
      <c r="O149" s="16" t="s">
        <v>1050</v>
      </c>
      <c r="P149" s="16" t="s">
        <v>1051</v>
      </c>
      <c r="Q149" s="16" t="s">
        <v>100</v>
      </c>
    </row>
    <row r="150" customFormat="false" ht="15" hidden="false" customHeight="false" outlineLevel="0" collapsed="false">
      <c r="A150" s="16" t="n">
        <v>18832</v>
      </c>
      <c r="B150" s="16" t="s">
        <v>1052</v>
      </c>
      <c r="C150" s="16" t="s">
        <v>1053</v>
      </c>
      <c r="D150" s="16" t="s">
        <v>22</v>
      </c>
      <c r="E150" s="16" t="s">
        <v>94</v>
      </c>
      <c r="F150" s="16" t="s">
        <v>63</v>
      </c>
      <c r="G150" s="16" t="s">
        <v>922</v>
      </c>
      <c r="H150" s="16" t="s">
        <v>47</v>
      </c>
      <c r="I150" s="16" t="s">
        <v>31</v>
      </c>
      <c r="J150" s="16" t="s">
        <v>1054</v>
      </c>
      <c r="K150" s="16" t="n">
        <v>53.7863235473633</v>
      </c>
      <c r="L150" s="16" t="n">
        <v>-2.68402099609375</v>
      </c>
      <c r="M150" s="16" t="s">
        <v>98</v>
      </c>
      <c r="N150" s="16" t="s">
        <v>1055</v>
      </c>
      <c r="O150" s="16" t="s">
        <v>1056</v>
      </c>
      <c r="P150" s="16" t="s">
        <v>1057</v>
      </c>
      <c r="Q150" s="16" t="s">
        <v>100</v>
      </c>
    </row>
    <row r="151" customFormat="false" ht="15" hidden="false" customHeight="false" outlineLevel="0" collapsed="false">
      <c r="A151" s="16" t="n">
        <v>18833</v>
      </c>
      <c r="B151" s="16" t="s">
        <v>1058</v>
      </c>
      <c r="C151" s="16" t="s">
        <v>1059</v>
      </c>
      <c r="D151" s="16" t="s">
        <v>22</v>
      </c>
      <c r="E151" s="16" t="s">
        <v>94</v>
      </c>
      <c r="F151" s="16" t="s">
        <v>63</v>
      </c>
      <c r="G151" s="16" t="s">
        <v>1060</v>
      </c>
      <c r="H151" s="16" t="s">
        <v>48</v>
      </c>
      <c r="I151" s="16" t="s">
        <v>30</v>
      </c>
      <c r="J151" s="16" t="s">
        <v>1061</v>
      </c>
      <c r="K151" s="16" t="n">
        <v>50.47509765625</v>
      </c>
      <c r="L151" s="16" t="n">
        <v>-3.541743516922</v>
      </c>
      <c r="M151" s="16" t="s">
        <v>98</v>
      </c>
      <c r="N151" s="16" t="s">
        <v>1062</v>
      </c>
      <c r="O151" s="16" t="s">
        <v>1063</v>
      </c>
      <c r="P151" s="16" t="s">
        <v>1064</v>
      </c>
      <c r="Q151" s="16" t="s">
        <v>100</v>
      </c>
    </row>
    <row r="152" customFormat="false" ht="15" hidden="false" customHeight="false" outlineLevel="0" collapsed="false">
      <c r="A152" s="16" t="n">
        <v>18834</v>
      </c>
      <c r="B152" s="16" t="s">
        <v>1065</v>
      </c>
      <c r="C152" s="16" t="s">
        <v>1066</v>
      </c>
      <c r="D152" s="16" t="s">
        <v>22</v>
      </c>
      <c r="E152" s="16" t="s">
        <v>94</v>
      </c>
      <c r="F152" s="16" t="s">
        <v>63</v>
      </c>
      <c r="G152" s="16" t="s">
        <v>1067</v>
      </c>
      <c r="H152" s="16" t="s">
        <v>714</v>
      </c>
      <c r="I152" s="16" t="s">
        <v>30</v>
      </c>
      <c r="J152" s="16" t="s">
        <v>1068</v>
      </c>
      <c r="K152" s="16" t="n">
        <v>51.0327415466309</v>
      </c>
      <c r="L152" s="16" t="n">
        <v>-1.76343381404877</v>
      </c>
      <c r="M152" s="16" t="s">
        <v>98</v>
      </c>
      <c r="N152" s="16" t="s">
        <v>1069</v>
      </c>
      <c r="O152" s="16" t="s">
        <v>1070</v>
      </c>
      <c r="P152" s="16" t="s">
        <v>1071</v>
      </c>
      <c r="Q152" s="16" t="s">
        <v>100</v>
      </c>
    </row>
    <row r="153" customFormat="false" ht="15" hidden="false" customHeight="false" outlineLevel="0" collapsed="false">
      <c r="A153" s="16" t="n">
        <v>18836</v>
      </c>
      <c r="B153" s="16" t="s">
        <v>1072</v>
      </c>
      <c r="C153" s="16" t="s">
        <v>1073</v>
      </c>
      <c r="D153" s="16" t="s">
        <v>22</v>
      </c>
      <c r="E153" s="16" t="s">
        <v>94</v>
      </c>
      <c r="F153" s="16" t="s">
        <v>63</v>
      </c>
      <c r="G153" s="16" t="s">
        <v>1074</v>
      </c>
      <c r="H153" s="16" t="s">
        <v>46</v>
      </c>
      <c r="I153" s="16" t="s">
        <v>29</v>
      </c>
      <c r="J153" s="16" t="s">
        <v>1075</v>
      </c>
      <c r="K153" s="16" t="n">
        <v>51.2735557556152</v>
      </c>
      <c r="L153" s="16" t="n">
        <v>-0.0791384056210517</v>
      </c>
      <c r="M153" s="16" t="s">
        <v>98</v>
      </c>
      <c r="N153" s="16" t="s">
        <v>1076</v>
      </c>
      <c r="O153" s="16" t="s">
        <v>1077</v>
      </c>
      <c r="P153" s="16" t="s">
        <v>1078</v>
      </c>
      <c r="Q153" s="16" t="s">
        <v>100</v>
      </c>
    </row>
    <row r="154" customFormat="false" ht="15" hidden="false" customHeight="false" outlineLevel="0" collapsed="false">
      <c r="A154" s="16" t="n">
        <v>18837</v>
      </c>
      <c r="B154" s="16" t="s">
        <v>1079</v>
      </c>
      <c r="C154" s="16" t="s">
        <v>1080</v>
      </c>
      <c r="D154" s="16" t="s">
        <v>22</v>
      </c>
      <c r="E154" s="16" t="s">
        <v>94</v>
      </c>
      <c r="F154" s="16" t="s">
        <v>63</v>
      </c>
      <c r="G154" s="16" t="s">
        <v>1081</v>
      </c>
      <c r="H154" s="16" t="s">
        <v>117</v>
      </c>
      <c r="I154" s="16" t="s">
        <v>31</v>
      </c>
      <c r="J154" s="16" t="s">
        <v>1082</v>
      </c>
      <c r="K154" s="16" t="n">
        <v>53.492301940918</v>
      </c>
      <c r="L154" s="16" t="n">
        <v>-2.32104921340942</v>
      </c>
      <c r="M154" s="16" t="s">
        <v>98</v>
      </c>
      <c r="N154" s="16" t="s">
        <v>1083</v>
      </c>
      <c r="O154" s="16" t="s">
        <v>1084</v>
      </c>
      <c r="P154" s="16" t="s">
        <v>1085</v>
      </c>
      <c r="Q154" s="16" t="s">
        <v>100</v>
      </c>
    </row>
    <row r="155" customFormat="false" ht="15" hidden="false" customHeight="false" outlineLevel="0" collapsed="false">
      <c r="A155" s="16" t="n">
        <v>18838</v>
      </c>
      <c r="B155" s="16" t="s">
        <v>1086</v>
      </c>
      <c r="C155" s="16" t="s">
        <v>1087</v>
      </c>
      <c r="D155" s="16" t="s">
        <v>22</v>
      </c>
      <c r="E155" s="16" t="s">
        <v>94</v>
      </c>
      <c r="F155" s="16" t="s">
        <v>63</v>
      </c>
      <c r="G155" s="16" t="s">
        <v>1088</v>
      </c>
      <c r="H155" s="16" t="s">
        <v>49</v>
      </c>
      <c r="I155" s="16" t="s">
        <v>32</v>
      </c>
      <c r="J155" s="16" t="s">
        <v>1089</v>
      </c>
      <c r="K155" s="16" t="n">
        <v>51.9062995910645</v>
      </c>
      <c r="L155" s="16" t="n">
        <v>0.89499294757843</v>
      </c>
      <c r="M155" s="16" t="s">
        <v>98</v>
      </c>
      <c r="N155" s="16" t="s">
        <v>1090</v>
      </c>
      <c r="O155" s="16" t="s">
        <v>1091</v>
      </c>
      <c r="P155" s="16" t="s">
        <v>1092</v>
      </c>
      <c r="Q155" s="16" t="s">
        <v>100</v>
      </c>
    </row>
    <row r="156" customFormat="false" ht="15" hidden="false" customHeight="false" outlineLevel="0" collapsed="false">
      <c r="A156" s="16" t="n">
        <v>18839</v>
      </c>
      <c r="B156" s="16" t="s">
        <v>1093</v>
      </c>
      <c r="C156" s="16" t="s">
        <v>1094</v>
      </c>
      <c r="D156" s="16" t="s">
        <v>22</v>
      </c>
      <c r="E156" s="16" t="s">
        <v>94</v>
      </c>
      <c r="F156" s="16" t="s">
        <v>63</v>
      </c>
      <c r="G156" s="16" t="s">
        <v>1095</v>
      </c>
      <c r="H156" s="16" t="s">
        <v>762</v>
      </c>
      <c r="I156" s="16" t="s">
        <v>35</v>
      </c>
      <c r="J156" s="16" t="s">
        <v>1096</v>
      </c>
      <c r="K156" s="16" t="n">
        <v>53.5303649902344</v>
      </c>
      <c r="L156" s="16" t="n">
        <v>-1.11160314083099</v>
      </c>
      <c r="M156" s="16" t="s">
        <v>98</v>
      </c>
      <c r="N156" s="16" t="s">
        <v>1097</v>
      </c>
      <c r="O156" s="16" t="s">
        <v>1098</v>
      </c>
      <c r="P156" s="16" t="s">
        <v>1099</v>
      </c>
      <c r="Q156" s="16" t="s">
        <v>100</v>
      </c>
    </row>
    <row r="157" customFormat="false" ht="15" hidden="false" customHeight="false" outlineLevel="0" collapsed="false">
      <c r="A157" s="16" t="n">
        <v>18840</v>
      </c>
      <c r="B157" s="16" t="s">
        <v>1100</v>
      </c>
      <c r="C157" s="16" t="s">
        <v>1101</v>
      </c>
      <c r="D157" s="16" t="s">
        <v>22</v>
      </c>
      <c r="E157" s="16" t="s">
        <v>94</v>
      </c>
      <c r="F157" s="16" t="s">
        <v>63</v>
      </c>
      <c r="G157" s="16" t="s">
        <v>1102</v>
      </c>
      <c r="H157" s="16" t="s">
        <v>57</v>
      </c>
      <c r="I157" s="16" t="s">
        <v>32</v>
      </c>
      <c r="J157" s="16" t="s">
        <v>1103</v>
      </c>
      <c r="K157" s="16" t="n">
        <v>51.9502983093262</v>
      </c>
      <c r="L157" s="16" t="n">
        <v>-0.262984931468964</v>
      </c>
      <c r="M157" s="16" t="s">
        <v>98</v>
      </c>
      <c r="N157" s="16" t="s">
        <v>1104</v>
      </c>
      <c r="O157" s="16" t="s">
        <v>1105</v>
      </c>
      <c r="P157" s="16" t="s">
        <v>1106</v>
      </c>
      <c r="Q157" s="16" t="s">
        <v>100</v>
      </c>
    </row>
    <row r="158" customFormat="false" ht="15" hidden="false" customHeight="false" outlineLevel="0" collapsed="false">
      <c r="A158" s="16" t="n">
        <v>18841</v>
      </c>
      <c r="B158" s="16" t="s">
        <v>1107</v>
      </c>
      <c r="C158" s="16" t="s">
        <v>1108</v>
      </c>
      <c r="D158" s="16" t="s">
        <v>22</v>
      </c>
      <c r="E158" s="16" t="s">
        <v>94</v>
      </c>
      <c r="F158" s="16" t="s">
        <v>63</v>
      </c>
      <c r="G158" s="16" t="s">
        <v>1109</v>
      </c>
      <c r="H158" s="16" t="s">
        <v>47</v>
      </c>
      <c r="I158" s="16" t="s">
        <v>31</v>
      </c>
      <c r="J158" s="16" t="s">
        <v>1110</v>
      </c>
      <c r="K158" s="16" t="n">
        <v>53.6001319885254</v>
      </c>
      <c r="L158" s="16" t="n">
        <v>-2.95068287849426</v>
      </c>
      <c r="M158" s="16" t="s">
        <v>98</v>
      </c>
      <c r="N158" s="16" t="s">
        <v>1111</v>
      </c>
      <c r="O158" s="16" t="s">
        <v>1112</v>
      </c>
      <c r="P158" s="16" t="s">
        <v>1113</v>
      </c>
      <c r="Q158" s="16" t="s">
        <v>100</v>
      </c>
    </row>
    <row r="159" customFormat="false" ht="15" hidden="false" customHeight="false" outlineLevel="0" collapsed="false">
      <c r="A159" s="16" t="n">
        <v>18842</v>
      </c>
      <c r="B159" s="16" t="s">
        <v>1114</v>
      </c>
      <c r="C159" s="16" t="s">
        <v>1115</v>
      </c>
      <c r="D159" s="16" t="s">
        <v>22</v>
      </c>
      <c r="E159" s="16" t="s">
        <v>94</v>
      </c>
      <c r="F159" s="16" t="s">
        <v>63</v>
      </c>
      <c r="G159" s="16" t="s">
        <v>994</v>
      </c>
      <c r="H159" s="16" t="s">
        <v>285</v>
      </c>
      <c r="I159" s="16" t="s">
        <v>34</v>
      </c>
      <c r="J159" s="16" t="s">
        <v>1116</v>
      </c>
      <c r="K159" s="16" t="n">
        <v>52.7947807312012</v>
      </c>
      <c r="L159" s="16" t="n">
        <v>-2.12626671791077</v>
      </c>
      <c r="M159" s="16" t="s">
        <v>98</v>
      </c>
      <c r="N159" s="16" t="s">
        <v>1117</v>
      </c>
      <c r="O159" s="16" t="s">
        <v>1118</v>
      </c>
      <c r="P159" s="16" t="s">
        <v>1119</v>
      </c>
      <c r="Q159" s="16" t="s">
        <v>100</v>
      </c>
    </row>
    <row r="160" customFormat="false" ht="15" hidden="false" customHeight="false" outlineLevel="0" collapsed="false">
      <c r="A160" s="16" t="n">
        <v>18843</v>
      </c>
      <c r="B160" s="16" t="s">
        <v>1120</v>
      </c>
      <c r="C160" s="16" t="s">
        <v>1121</v>
      </c>
      <c r="D160" s="16" t="s">
        <v>22</v>
      </c>
      <c r="E160" s="16" t="s">
        <v>94</v>
      </c>
      <c r="F160" s="16" t="s">
        <v>63</v>
      </c>
      <c r="G160" s="16" t="s">
        <v>877</v>
      </c>
      <c r="H160" s="16" t="s">
        <v>49</v>
      </c>
      <c r="I160" s="16" t="s">
        <v>32</v>
      </c>
      <c r="J160" s="16" t="s">
        <v>1122</v>
      </c>
      <c r="K160" s="16" t="n">
        <v>51.7533721923828</v>
      </c>
      <c r="L160" s="16" t="n">
        <v>0.484612137079239</v>
      </c>
      <c r="M160" s="16" t="s">
        <v>98</v>
      </c>
      <c r="N160" s="16" t="s">
        <v>1123</v>
      </c>
      <c r="O160" s="16" t="s">
        <v>1124</v>
      </c>
      <c r="P160" s="16" t="s">
        <v>1125</v>
      </c>
      <c r="Q160" s="16" t="s">
        <v>100</v>
      </c>
    </row>
    <row r="161" customFormat="false" ht="15" hidden="false" customHeight="false" outlineLevel="0" collapsed="false">
      <c r="A161" s="16" t="n">
        <v>18844</v>
      </c>
      <c r="B161" s="16" t="s">
        <v>1126</v>
      </c>
      <c r="C161" s="16" t="s">
        <v>1127</v>
      </c>
      <c r="D161" s="16" t="s">
        <v>22</v>
      </c>
      <c r="E161" s="16" t="s">
        <v>94</v>
      </c>
      <c r="F161" s="16" t="s">
        <v>63</v>
      </c>
      <c r="G161" s="16" t="s">
        <v>1128</v>
      </c>
      <c r="H161" s="16" t="s">
        <v>57</v>
      </c>
      <c r="I161" s="16" t="s">
        <v>32</v>
      </c>
      <c r="J161" s="16" t="s">
        <v>1129</v>
      </c>
      <c r="K161" s="16" t="n">
        <v>51.8070945739746</v>
      </c>
      <c r="L161" s="16" t="n">
        <v>0.130471587181091</v>
      </c>
      <c r="M161" s="16" t="s">
        <v>98</v>
      </c>
      <c r="N161" s="16" t="s">
        <v>1130</v>
      </c>
      <c r="O161" s="16" t="s">
        <v>1131</v>
      </c>
      <c r="P161" s="16" t="s">
        <v>1132</v>
      </c>
      <c r="Q161" s="16" t="s">
        <v>100</v>
      </c>
    </row>
    <row r="162" customFormat="false" ht="15" hidden="false" customHeight="false" outlineLevel="0" collapsed="false">
      <c r="A162" s="16" t="n">
        <v>18846</v>
      </c>
      <c r="B162" s="16" t="s">
        <v>1133</v>
      </c>
      <c r="C162" s="16" t="s">
        <v>1134</v>
      </c>
      <c r="D162" s="16" t="s">
        <v>22</v>
      </c>
      <c r="E162" s="16" t="s">
        <v>94</v>
      </c>
      <c r="F162" s="16" t="s">
        <v>63</v>
      </c>
      <c r="G162" s="16" t="s">
        <v>1135</v>
      </c>
      <c r="H162" s="16" t="s">
        <v>34</v>
      </c>
      <c r="I162" s="16" t="s">
        <v>34</v>
      </c>
      <c r="J162" s="16" t="s">
        <v>1136</v>
      </c>
      <c r="K162" s="16" t="n">
        <v>52.4578170776367</v>
      </c>
      <c r="L162" s="16" t="n">
        <v>-2.07665967941284</v>
      </c>
      <c r="M162" s="16" t="s">
        <v>98</v>
      </c>
      <c r="N162" s="16" t="s">
        <v>1137</v>
      </c>
      <c r="O162" s="16" t="s">
        <v>1138</v>
      </c>
      <c r="P162" s="16" t="s">
        <v>1139</v>
      </c>
      <c r="Q162" s="16" t="s">
        <v>100</v>
      </c>
    </row>
    <row r="163" customFormat="false" ht="15" hidden="false" customHeight="false" outlineLevel="0" collapsed="false">
      <c r="A163" s="16" t="n">
        <v>18847</v>
      </c>
      <c r="B163" s="16" t="s">
        <v>1140</v>
      </c>
      <c r="C163" s="16" t="s">
        <v>1141</v>
      </c>
      <c r="D163" s="16" t="s">
        <v>22</v>
      </c>
      <c r="E163" s="16" t="s">
        <v>94</v>
      </c>
      <c r="F163" s="16" t="s">
        <v>63</v>
      </c>
      <c r="G163" s="16" t="s">
        <v>1142</v>
      </c>
      <c r="H163" s="16" t="s">
        <v>208</v>
      </c>
      <c r="I163" s="16" t="s">
        <v>30</v>
      </c>
      <c r="J163" s="16" t="s">
        <v>1143</v>
      </c>
      <c r="K163" s="16" t="n">
        <v>51.8804435729981</v>
      </c>
      <c r="L163" s="16" t="n">
        <v>-2.24241662025452</v>
      </c>
      <c r="M163" s="16" t="s">
        <v>98</v>
      </c>
      <c r="N163" s="16" t="s">
        <v>1144</v>
      </c>
      <c r="O163" s="16" t="s">
        <v>1145</v>
      </c>
      <c r="P163" s="16" t="s">
        <v>1146</v>
      </c>
      <c r="Q163" s="16" t="s">
        <v>100</v>
      </c>
    </row>
    <row r="164" customFormat="false" ht="15" hidden="false" customHeight="false" outlineLevel="0" collapsed="false">
      <c r="A164" s="16" t="n">
        <v>18848</v>
      </c>
      <c r="B164" s="16" t="s">
        <v>1147</v>
      </c>
      <c r="C164" s="16" t="s">
        <v>1148</v>
      </c>
      <c r="D164" s="16" t="s">
        <v>22</v>
      </c>
      <c r="E164" s="16" t="s">
        <v>94</v>
      </c>
      <c r="F164" s="16" t="s">
        <v>63</v>
      </c>
      <c r="G164" s="16" t="s">
        <v>1149</v>
      </c>
      <c r="H164" s="16" t="s">
        <v>769</v>
      </c>
      <c r="I164" s="16" t="s">
        <v>36</v>
      </c>
      <c r="J164" s="16" t="s">
        <v>1150</v>
      </c>
      <c r="K164" s="16" t="n">
        <v>52.4116287231445</v>
      </c>
      <c r="L164" s="16" t="n">
        <v>-0.768490612506867</v>
      </c>
      <c r="M164" s="16" t="s">
        <v>98</v>
      </c>
      <c r="N164" s="16" t="s">
        <v>1151</v>
      </c>
      <c r="O164" s="16" t="s">
        <v>1152</v>
      </c>
      <c r="P164" s="16" t="s">
        <v>1153</v>
      </c>
      <c r="Q164" s="16" t="s">
        <v>100</v>
      </c>
    </row>
    <row r="165" customFormat="false" ht="15" hidden="false" customHeight="false" outlineLevel="0" collapsed="false">
      <c r="A165" s="16" t="n">
        <v>18850</v>
      </c>
      <c r="B165" s="16" t="s">
        <v>1154</v>
      </c>
      <c r="C165" s="16" t="s">
        <v>1155</v>
      </c>
      <c r="D165" s="16" t="s">
        <v>22</v>
      </c>
      <c r="E165" s="16" t="s">
        <v>94</v>
      </c>
      <c r="F165" s="16" t="s">
        <v>63</v>
      </c>
      <c r="G165" s="16" t="s">
        <v>1156</v>
      </c>
      <c r="H165" s="16" t="s">
        <v>330</v>
      </c>
      <c r="I165" s="16" t="s">
        <v>29</v>
      </c>
      <c r="J165" s="16" t="s">
        <v>1157</v>
      </c>
      <c r="K165" s="16" t="n">
        <v>52.053524017334</v>
      </c>
      <c r="L165" s="16" t="n">
        <v>-1.3366494178772</v>
      </c>
      <c r="M165" s="16" t="s">
        <v>98</v>
      </c>
      <c r="N165" s="16" t="s">
        <v>1158</v>
      </c>
      <c r="O165" s="16" t="s">
        <v>1159</v>
      </c>
      <c r="P165" s="16" t="s">
        <v>1160</v>
      </c>
      <c r="Q165" s="16" t="s">
        <v>100</v>
      </c>
    </row>
    <row r="166" customFormat="false" ht="15" hidden="false" customHeight="false" outlineLevel="0" collapsed="false">
      <c r="A166" s="16" t="n">
        <v>18852</v>
      </c>
      <c r="B166" s="16" t="s">
        <v>1161</v>
      </c>
      <c r="C166" s="16" t="s">
        <v>1162</v>
      </c>
      <c r="D166" s="16" t="s">
        <v>22</v>
      </c>
      <c r="E166" s="16" t="s">
        <v>94</v>
      </c>
      <c r="F166" s="16" t="s">
        <v>63</v>
      </c>
      <c r="G166" s="16" t="s">
        <v>1163</v>
      </c>
      <c r="H166" s="16" t="s">
        <v>814</v>
      </c>
      <c r="I166" s="16" t="s">
        <v>36</v>
      </c>
      <c r="J166" s="16" t="s">
        <v>1164</v>
      </c>
      <c r="K166" s="16" t="n">
        <v>52.9759178161621</v>
      </c>
      <c r="L166" s="16" t="n">
        <v>-0.0335148051381111</v>
      </c>
      <c r="M166" s="16" t="s">
        <v>98</v>
      </c>
      <c r="N166" s="16" t="s">
        <v>1165</v>
      </c>
      <c r="O166" s="16" t="s">
        <v>1166</v>
      </c>
      <c r="P166" s="16" t="s">
        <v>1167</v>
      </c>
      <c r="Q166" s="16" t="s">
        <v>100</v>
      </c>
    </row>
    <row r="167" customFormat="false" ht="15" hidden="false" customHeight="false" outlineLevel="0" collapsed="false">
      <c r="A167" s="16" t="n">
        <v>18853</v>
      </c>
      <c r="B167" s="16" t="s">
        <v>1168</v>
      </c>
      <c r="C167" s="16" t="s">
        <v>1169</v>
      </c>
      <c r="D167" s="16" t="s">
        <v>22</v>
      </c>
      <c r="E167" s="16" t="s">
        <v>94</v>
      </c>
      <c r="F167" s="16" t="s">
        <v>63</v>
      </c>
      <c r="G167" s="16" t="s">
        <v>131</v>
      </c>
      <c r="H167" s="16" t="s">
        <v>54</v>
      </c>
      <c r="I167" s="16" t="s">
        <v>35</v>
      </c>
      <c r="J167" s="16" t="s">
        <v>1170</v>
      </c>
      <c r="K167" s="16" t="n">
        <v>53.9778594970703</v>
      </c>
      <c r="L167" s="16" t="n">
        <v>-1.11392939090729</v>
      </c>
      <c r="M167" s="16" t="s">
        <v>98</v>
      </c>
      <c r="N167" s="16" t="s">
        <v>1171</v>
      </c>
      <c r="O167" s="16" t="s">
        <v>1172</v>
      </c>
      <c r="P167" s="16" t="s">
        <v>1173</v>
      </c>
      <c r="Q167" s="16" t="s">
        <v>100</v>
      </c>
    </row>
    <row r="168" customFormat="false" ht="15" hidden="false" customHeight="false" outlineLevel="0" collapsed="false">
      <c r="A168" s="16" t="n">
        <v>18854</v>
      </c>
      <c r="B168" s="16" t="s">
        <v>1174</v>
      </c>
      <c r="C168" s="16" t="s">
        <v>1175</v>
      </c>
      <c r="D168" s="16" t="s">
        <v>22</v>
      </c>
      <c r="E168" s="16" t="s">
        <v>94</v>
      </c>
      <c r="F168" s="16" t="s">
        <v>63</v>
      </c>
      <c r="G168" s="16" t="s">
        <v>278</v>
      </c>
      <c r="H168" s="16" t="s">
        <v>279</v>
      </c>
      <c r="I168" s="16" t="s">
        <v>37</v>
      </c>
      <c r="J168" s="16" t="s">
        <v>1176</v>
      </c>
      <c r="K168" s="16" t="n">
        <v>55.0240592956543</v>
      </c>
      <c r="L168" s="16" t="n">
        <v>-1.510449051857</v>
      </c>
      <c r="M168" s="16" t="s">
        <v>98</v>
      </c>
      <c r="N168" s="16" t="s">
        <v>1177</v>
      </c>
      <c r="O168" s="16" t="s">
        <v>1178</v>
      </c>
      <c r="P168" s="16" t="s">
        <v>1179</v>
      </c>
      <c r="Q168" s="16" t="s">
        <v>100</v>
      </c>
    </row>
    <row r="169" customFormat="false" ht="15" hidden="false" customHeight="false" outlineLevel="0" collapsed="false">
      <c r="A169" s="16" t="n">
        <v>18855</v>
      </c>
      <c r="B169" s="16" t="s">
        <v>1180</v>
      </c>
      <c r="C169" s="16" t="s">
        <v>1181</v>
      </c>
      <c r="D169" s="16" t="s">
        <v>22</v>
      </c>
      <c r="E169" s="16" t="s">
        <v>94</v>
      </c>
      <c r="F169" s="16" t="s">
        <v>63</v>
      </c>
      <c r="G169" s="16" t="s">
        <v>735</v>
      </c>
      <c r="H169" s="16" t="s">
        <v>620</v>
      </c>
      <c r="I169" s="16" t="s">
        <v>29</v>
      </c>
      <c r="J169" s="16" t="s">
        <v>1182</v>
      </c>
      <c r="K169" s="16" t="n">
        <v>52.0744247436523</v>
      </c>
      <c r="L169" s="16" t="n">
        <v>-0.742682993412018</v>
      </c>
      <c r="M169" s="16" t="s">
        <v>98</v>
      </c>
      <c r="N169" s="16" t="s">
        <v>1183</v>
      </c>
      <c r="O169" s="16" t="s">
        <v>1184</v>
      </c>
      <c r="P169" s="16" t="s">
        <v>1185</v>
      </c>
      <c r="Q169" s="16" t="s">
        <v>100</v>
      </c>
    </row>
    <row r="170" customFormat="false" ht="15" hidden="false" customHeight="false" outlineLevel="0" collapsed="false">
      <c r="A170" s="16" t="n">
        <v>18857</v>
      </c>
      <c r="B170" s="16" t="s">
        <v>1186</v>
      </c>
      <c r="C170" s="16" t="s">
        <v>1187</v>
      </c>
      <c r="D170" s="16" t="s">
        <v>22</v>
      </c>
      <c r="E170" s="16" t="s">
        <v>94</v>
      </c>
      <c r="F170" s="16" t="s">
        <v>63</v>
      </c>
      <c r="G170" s="16" t="s">
        <v>837</v>
      </c>
      <c r="H170" s="16" t="s">
        <v>47</v>
      </c>
      <c r="I170" s="16" t="s">
        <v>31</v>
      </c>
      <c r="J170" s="16" t="s">
        <v>838</v>
      </c>
      <c r="K170" s="16" t="n">
        <v>53.9433288574219</v>
      </c>
      <c r="L170" s="16" t="n">
        <v>-2.26754307746887</v>
      </c>
      <c r="M170" s="16" t="s">
        <v>98</v>
      </c>
      <c r="N170" s="16" t="s">
        <v>839</v>
      </c>
      <c r="O170" s="16" t="s">
        <v>1188</v>
      </c>
      <c r="P170" s="16" t="s">
        <v>1189</v>
      </c>
      <c r="Q170" s="16" t="s">
        <v>100</v>
      </c>
    </row>
    <row r="171" customFormat="false" ht="15" hidden="false" customHeight="false" outlineLevel="0" collapsed="false">
      <c r="A171" s="16" t="n">
        <v>18863</v>
      </c>
      <c r="B171" s="16" t="s">
        <v>1190</v>
      </c>
      <c r="C171" s="16" t="s">
        <v>1191</v>
      </c>
      <c r="D171" s="16" t="s">
        <v>22</v>
      </c>
      <c r="E171" s="16" t="s">
        <v>94</v>
      </c>
      <c r="F171" s="16" t="s">
        <v>63</v>
      </c>
      <c r="G171" s="16" t="s">
        <v>1192</v>
      </c>
      <c r="H171" s="16" t="s">
        <v>694</v>
      </c>
      <c r="I171" s="16" t="s">
        <v>36</v>
      </c>
      <c r="J171" s="16" t="s">
        <v>1193</v>
      </c>
      <c r="K171" s="16" t="n">
        <v>52.9904823303223</v>
      </c>
      <c r="L171" s="16" t="n">
        <v>-1.13861393928528</v>
      </c>
      <c r="M171" s="16" t="s">
        <v>98</v>
      </c>
      <c r="N171" s="16" t="s">
        <v>1194</v>
      </c>
      <c r="O171" s="16" t="s">
        <v>1195</v>
      </c>
      <c r="P171" s="16" t="s">
        <v>1196</v>
      </c>
      <c r="Q171" s="16" t="s">
        <v>100</v>
      </c>
    </row>
    <row r="172" customFormat="false" ht="15" hidden="false" customHeight="false" outlineLevel="0" collapsed="false">
      <c r="A172" s="16" t="n">
        <v>18864</v>
      </c>
      <c r="B172" s="16" t="s">
        <v>1197</v>
      </c>
      <c r="C172" s="16" t="s">
        <v>1198</v>
      </c>
      <c r="D172" s="16" t="s">
        <v>22</v>
      </c>
      <c r="E172" s="16" t="s">
        <v>94</v>
      </c>
      <c r="F172" s="16" t="s">
        <v>63</v>
      </c>
      <c r="G172" s="16" t="s">
        <v>706</v>
      </c>
      <c r="H172" s="16" t="s">
        <v>34</v>
      </c>
      <c r="I172" s="16" t="s">
        <v>34</v>
      </c>
      <c r="J172" s="16" t="s">
        <v>1199</v>
      </c>
      <c r="K172" s="16" t="n">
        <v>52.4670791625977</v>
      </c>
      <c r="L172" s="16" t="n">
        <v>-1.92258167266846</v>
      </c>
      <c r="M172" s="16" t="s">
        <v>98</v>
      </c>
      <c r="N172" s="16" t="s">
        <v>1200</v>
      </c>
      <c r="O172" s="16" t="s">
        <v>1201</v>
      </c>
      <c r="P172" s="16" t="s">
        <v>1202</v>
      </c>
      <c r="Q172" s="16" t="s">
        <v>100</v>
      </c>
    </row>
    <row r="173" customFormat="false" ht="15" hidden="false" customHeight="false" outlineLevel="0" collapsed="false">
      <c r="A173" s="16" t="n">
        <v>18866</v>
      </c>
      <c r="B173" s="16" t="s">
        <v>1203</v>
      </c>
      <c r="C173" s="16" t="s">
        <v>1204</v>
      </c>
      <c r="D173" s="16" t="s">
        <v>22</v>
      </c>
      <c r="E173" s="16" t="s">
        <v>94</v>
      </c>
      <c r="F173" s="16" t="s">
        <v>1205</v>
      </c>
      <c r="G173" s="16" t="s">
        <v>1206</v>
      </c>
      <c r="H173" s="16" t="s">
        <v>52</v>
      </c>
      <c r="I173" s="16" t="s">
        <v>31</v>
      </c>
      <c r="J173" s="16" t="s">
        <v>1207</v>
      </c>
      <c r="K173" s="16" t="n">
        <v>53.4845542907715</v>
      </c>
      <c r="L173" s="16" t="n">
        <v>-2.7500593662262</v>
      </c>
      <c r="M173" s="16" t="s">
        <v>98</v>
      </c>
      <c r="N173" s="16" t="s">
        <v>1208</v>
      </c>
      <c r="O173" s="16" t="s">
        <v>1209</v>
      </c>
      <c r="P173" s="16" t="s">
        <v>1210</v>
      </c>
      <c r="Q173" s="16" t="s">
        <v>100</v>
      </c>
    </row>
    <row r="174" customFormat="false" ht="15" hidden="false" customHeight="false" outlineLevel="0" collapsed="false">
      <c r="A174" s="16" t="n">
        <v>18875</v>
      </c>
      <c r="B174" s="16" t="s">
        <v>1211</v>
      </c>
      <c r="C174" s="16" t="s">
        <v>1212</v>
      </c>
      <c r="D174" s="16" t="s">
        <v>22</v>
      </c>
      <c r="E174" s="16" t="s">
        <v>94</v>
      </c>
      <c r="F174" s="16" t="s">
        <v>1213</v>
      </c>
      <c r="G174" s="16" t="s">
        <v>33</v>
      </c>
      <c r="H174" s="16" t="s">
        <v>44</v>
      </c>
      <c r="I174" s="16" t="s">
        <v>33</v>
      </c>
      <c r="J174" s="16" t="s">
        <v>1214</v>
      </c>
      <c r="K174" s="16" t="n">
        <v>51.5063285827637</v>
      </c>
      <c r="L174" s="16" t="n">
        <v>-0.085878700017929</v>
      </c>
      <c r="M174" s="16" t="s">
        <v>98</v>
      </c>
      <c r="N174" s="16" t="s">
        <v>1215</v>
      </c>
      <c r="O174" s="16" t="s">
        <v>1216</v>
      </c>
      <c r="P174" s="16" t="s">
        <v>1217</v>
      </c>
      <c r="Q174" s="16" t="s">
        <v>100</v>
      </c>
    </row>
    <row r="175" customFormat="false" ht="15" hidden="false" customHeight="false" outlineLevel="0" collapsed="false">
      <c r="A175" s="16" t="n">
        <v>18887</v>
      </c>
      <c r="B175" s="16" t="s">
        <v>1218</v>
      </c>
      <c r="C175" s="16" t="s">
        <v>1219</v>
      </c>
      <c r="D175" s="16" t="s">
        <v>22</v>
      </c>
      <c r="E175" s="16" t="s">
        <v>94</v>
      </c>
      <c r="F175" s="16" t="s">
        <v>1219</v>
      </c>
      <c r="G175" s="16" t="s">
        <v>1220</v>
      </c>
      <c r="H175" s="16" t="s">
        <v>45</v>
      </c>
      <c r="I175" s="16" t="s">
        <v>29</v>
      </c>
      <c r="J175" s="16" t="s">
        <v>1221</v>
      </c>
      <c r="K175" s="16" t="n">
        <v>51.0866470336914</v>
      </c>
      <c r="L175" s="16" t="n">
        <v>0.616114020347595</v>
      </c>
      <c r="M175" s="16" t="s">
        <v>98</v>
      </c>
      <c r="N175" s="16" t="s">
        <v>1222</v>
      </c>
      <c r="O175" s="16"/>
      <c r="P175" s="16" t="s">
        <v>1223</v>
      </c>
      <c r="Q175" s="16" t="s">
        <v>100</v>
      </c>
    </row>
    <row r="176" customFormat="false" ht="15" hidden="false" customHeight="false" outlineLevel="0" collapsed="false">
      <c r="A176" s="16" t="n">
        <v>18909</v>
      </c>
      <c r="B176" s="16" t="s">
        <v>1224</v>
      </c>
      <c r="C176" s="16" t="s">
        <v>1225</v>
      </c>
      <c r="D176" s="16" t="s">
        <v>22</v>
      </c>
      <c r="E176" s="16" t="s">
        <v>94</v>
      </c>
      <c r="F176" s="16" t="s">
        <v>1225</v>
      </c>
      <c r="G176" s="16" t="s">
        <v>1226</v>
      </c>
      <c r="H176" s="16" t="s">
        <v>187</v>
      </c>
      <c r="I176" s="16" t="s">
        <v>29</v>
      </c>
      <c r="J176" s="16" t="s">
        <v>1227</v>
      </c>
      <c r="K176" s="16" t="n">
        <v>51.0636749267578</v>
      </c>
      <c r="L176" s="16" t="n">
        <v>0.142799317836761</v>
      </c>
      <c r="M176" s="16" t="s">
        <v>98</v>
      </c>
      <c r="N176" s="16" t="s">
        <v>1228</v>
      </c>
      <c r="O176" s="16" t="s">
        <v>1229</v>
      </c>
      <c r="P176" s="16" t="s">
        <v>1230</v>
      </c>
      <c r="Q176" s="16" t="s">
        <v>100</v>
      </c>
    </row>
    <row r="177" customFormat="false" ht="15" hidden="false" customHeight="false" outlineLevel="0" collapsed="false">
      <c r="A177" s="16" t="n">
        <v>39920</v>
      </c>
      <c r="B177" s="16" t="s">
        <v>1231</v>
      </c>
      <c r="C177" s="16" t="s">
        <v>1232</v>
      </c>
      <c r="D177" s="16" t="s">
        <v>23</v>
      </c>
      <c r="E177" s="16" t="s">
        <v>94</v>
      </c>
      <c r="F177" s="16" t="s">
        <v>1233</v>
      </c>
      <c r="G177" s="16" t="s">
        <v>1234</v>
      </c>
      <c r="H177" s="16" t="s">
        <v>340</v>
      </c>
      <c r="I177" s="16" t="s">
        <v>34</v>
      </c>
      <c r="J177" s="16" t="s">
        <v>1235</v>
      </c>
      <c r="K177" s="16" t="n">
        <v>52.0862617492676</v>
      </c>
      <c r="L177" s="16" t="n">
        <v>-1.94867062568665</v>
      </c>
      <c r="M177" s="16" t="s">
        <v>98</v>
      </c>
      <c r="N177" s="16" t="s">
        <v>1236</v>
      </c>
      <c r="O177" s="16"/>
      <c r="P177" s="16" t="s">
        <v>1237</v>
      </c>
      <c r="Q177" s="16" t="s">
        <v>100</v>
      </c>
    </row>
    <row r="178" customFormat="false" ht="15" hidden="false" customHeight="false" outlineLevel="0" collapsed="false">
      <c r="A178" s="16" t="n">
        <v>39921</v>
      </c>
      <c r="B178" s="16" t="s">
        <v>1238</v>
      </c>
      <c r="C178" s="16" t="s">
        <v>1239</v>
      </c>
      <c r="D178" s="16" t="s">
        <v>23</v>
      </c>
      <c r="E178" s="16" t="s">
        <v>94</v>
      </c>
      <c r="F178" s="16" t="s">
        <v>1233</v>
      </c>
      <c r="G178" s="16" t="s">
        <v>1240</v>
      </c>
      <c r="H178" s="16" t="s">
        <v>340</v>
      </c>
      <c r="I178" s="16" t="s">
        <v>34</v>
      </c>
      <c r="J178" s="16" t="s">
        <v>1241</v>
      </c>
      <c r="K178" s="16" t="n">
        <v>52.1238517761231</v>
      </c>
      <c r="L178" s="16" t="n">
        <v>-2.3228452205658</v>
      </c>
      <c r="M178" s="16" t="s">
        <v>98</v>
      </c>
      <c r="N178" s="16" t="s">
        <v>1242</v>
      </c>
      <c r="O178" s="16"/>
      <c r="P178" s="16" t="s">
        <v>1243</v>
      </c>
      <c r="Q178" s="16" t="s">
        <v>100</v>
      </c>
    </row>
    <row r="179" customFormat="false" ht="15" hidden="false" customHeight="false" outlineLevel="0" collapsed="false">
      <c r="A179" s="16" t="n">
        <v>39923</v>
      </c>
      <c r="B179" s="16" t="s">
        <v>1244</v>
      </c>
      <c r="C179" s="16" t="s">
        <v>1245</v>
      </c>
      <c r="D179" s="16" t="s">
        <v>23</v>
      </c>
      <c r="E179" s="16" t="s">
        <v>94</v>
      </c>
      <c r="F179" s="16" t="s">
        <v>1233</v>
      </c>
      <c r="G179" s="16" t="s">
        <v>1246</v>
      </c>
      <c r="H179" s="16" t="s">
        <v>340</v>
      </c>
      <c r="I179" s="16" t="s">
        <v>34</v>
      </c>
      <c r="J179" s="16" t="s">
        <v>1247</v>
      </c>
      <c r="K179" s="16" t="n">
        <v>52.3441390991211</v>
      </c>
      <c r="L179" s="16" t="n">
        <v>-2.05564761161804</v>
      </c>
      <c r="M179" s="16" t="s">
        <v>98</v>
      </c>
      <c r="N179" s="16" t="s">
        <v>1248</v>
      </c>
      <c r="O179" s="16"/>
      <c r="P179" s="16" t="s">
        <v>1249</v>
      </c>
      <c r="Q179" s="16" t="s">
        <v>100</v>
      </c>
    </row>
    <row r="180" customFormat="false" ht="15" hidden="false" customHeight="false" outlineLevel="0" collapsed="false">
      <c r="A180" s="16" t="n">
        <v>39930</v>
      </c>
      <c r="B180" s="16" t="s">
        <v>1250</v>
      </c>
      <c r="C180" s="16" t="s">
        <v>1251</v>
      </c>
      <c r="D180" s="16" t="s">
        <v>23</v>
      </c>
      <c r="E180" s="16" t="s">
        <v>94</v>
      </c>
      <c r="F180" s="16" t="s">
        <v>1252</v>
      </c>
      <c r="G180" s="16" t="s">
        <v>1253</v>
      </c>
      <c r="H180" s="16" t="s">
        <v>297</v>
      </c>
      <c r="I180" s="16" t="s">
        <v>34</v>
      </c>
      <c r="J180" s="16" t="s">
        <v>1254</v>
      </c>
      <c r="K180" s="16" t="n">
        <v>52.3736572265625</v>
      </c>
      <c r="L180" s="16" t="n">
        <v>-2.7144341468811</v>
      </c>
      <c r="M180" s="16" t="s">
        <v>98</v>
      </c>
      <c r="N180" s="16" t="s">
        <v>1255</v>
      </c>
      <c r="O180" s="16" t="s">
        <v>1256</v>
      </c>
      <c r="P180" s="16" t="s">
        <v>1257</v>
      </c>
      <c r="Q180" s="16" t="s">
        <v>100</v>
      </c>
    </row>
    <row r="181" customFormat="false" ht="15" hidden="false" customHeight="false" outlineLevel="0" collapsed="false">
      <c r="A181" s="16" t="n">
        <v>39931</v>
      </c>
      <c r="B181" s="16" t="s">
        <v>1258</v>
      </c>
      <c r="C181" s="16" t="s">
        <v>1259</v>
      </c>
      <c r="D181" s="16" t="s">
        <v>23</v>
      </c>
      <c r="E181" s="16" t="s">
        <v>94</v>
      </c>
      <c r="F181" s="16" t="s">
        <v>1252</v>
      </c>
      <c r="G181" s="16" t="s">
        <v>1260</v>
      </c>
      <c r="H181" s="16" t="s">
        <v>297</v>
      </c>
      <c r="I181" s="16" t="s">
        <v>34</v>
      </c>
      <c r="J181" s="16" t="s">
        <v>1261</v>
      </c>
      <c r="K181" s="16" t="n">
        <v>52.5379028320313</v>
      </c>
      <c r="L181" s="16" t="n">
        <v>-2.42148804664612</v>
      </c>
      <c r="M181" s="16" t="s">
        <v>98</v>
      </c>
      <c r="N181" s="16" t="s">
        <v>1262</v>
      </c>
      <c r="O181" s="16" t="s">
        <v>1263</v>
      </c>
      <c r="P181" s="16" t="s">
        <v>1257</v>
      </c>
      <c r="Q181" s="16" t="s">
        <v>100</v>
      </c>
    </row>
    <row r="182" customFormat="false" ht="15" hidden="false" customHeight="false" outlineLevel="0" collapsed="false">
      <c r="A182" s="16" t="n">
        <v>39932</v>
      </c>
      <c r="B182" s="16" t="s">
        <v>1264</v>
      </c>
      <c r="C182" s="16" t="s">
        <v>1265</v>
      </c>
      <c r="D182" s="16" t="s">
        <v>23</v>
      </c>
      <c r="E182" s="16" t="s">
        <v>94</v>
      </c>
      <c r="F182" s="16" t="s">
        <v>1252</v>
      </c>
      <c r="G182" s="16" t="s">
        <v>1266</v>
      </c>
      <c r="H182" s="16" t="s">
        <v>297</v>
      </c>
      <c r="I182" s="16" t="s">
        <v>34</v>
      </c>
      <c r="J182" s="16" t="s">
        <v>1267</v>
      </c>
      <c r="K182" s="16" t="n">
        <v>52.4930953979492</v>
      </c>
      <c r="L182" s="16" t="n">
        <v>-2.99959111213684</v>
      </c>
      <c r="M182" s="16" t="s">
        <v>98</v>
      </c>
      <c r="N182" s="16" t="s">
        <v>1268</v>
      </c>
      <c r="O182" s="16" t="s">
        <v>1269</v>
      </c>
      <c r="P182" s="16" t="s">
        <v>1257</v>
      </c>
      <c r="Q182" s="16" t="s">
        <v>100</v>
      </c>
    </row>
    <row r="183" customFormat="false" ht="15" hidden="false" customHeight="false" outlineLevel="0" collapsed="false">
      <c r="A183" s="16" t="n">
        <v>39933</v>
      </c>
      <c r="B183" s="16" t="s">
        <v>1270</v>
      </c>
      <c r="C183" s="16" t="s">
        <v>1271</v>
      </c>
      <c r="D183" s="16" t="s">
        <v>23</v>
      </c>
      <c r="E183" s="16" t="s">
        <v>94</v>
      </c>
      <c r="F183" s="16" t="s">
        <v>1252</v>
      </c>
      <c r="G183" s="16" t="s">
        <v>1272</v>
      </c>
      <c r="H183" s="16" t="s">
        <v>297</v>
      </c>
      <c r="I183" s="16" t="s">
        <v>34</v>
      </c>
      <c r="J183" s="16" t="s">
        <v>1273</v>
      </c>
      <c r="K183" s="16" t="n">
        <v>52.9727401733398</v>
      </c>
      <c r="L183" s="16" t="n">
        <v>-2.67920184135437</v>
      </c>
      <c r="M183" s="16" t="s">
        <v>98</v>
      </c>
      <c r="N183" s="16" t="s">
        <v>1274</v>
      </c>
      <c r="O183" s="16" t="s">
        <v>1275</v>
      </c>
      <c r="P183" s="16" t="s">
        <v>1257</v>
      </c>
      <c r="Q183" s="16" t="s">
        <v>100</v>
      </c>
    </row>
    <row r="184" customFormat="false" ht="15" hidden="false" customHeight="false" outlineLevel="0" collapsed="false">
      <c r="A184" s="16" t="n">
        <v>39954</v>
      </c>
      <c r="B184" s="16" t="s">
        <v>1276</v>
      </c>
      <c r="C184" s="16" t="s">
        <v>1277</v>
      </c>
      <c r="D184" s="16" t="s">
        <v>23</v>
      </c>
      <c r="E184" s="16" t="s">
        <v>94</v>
      </c>
      <c r="F184" s="16" t="s">
        <v>1278</v>
      </c>
      <c r="G184" s="16" t="s">
        <v>33</v>
      </c>
      <c r="H184" s="16" t="s">
        <v>44</v>
      </c>
      <c r="I184" s="16" t="s">
        <v>33</v>
      </c>
      <c r="J184" s="16" t="s">
        <v>1279</v>
      </c>
      <c r="K184" s="16" t="n">
        <v>51.5227775573731</v>
      </c>
      <c r="L184" s="16" t="n">
        <v>0.0347316041588783</v>
      </c>
      <c r="M184" s="16" t="s">
        <v>98</v>
      </c>
      <c r="N184" s="16" t="s">
        <v>1280</v>
      </c>
      <c r="O184" s="16"/>
      <c r="P184" s="16" t="s">
        <v>1281</v>
      </c>
      <c r="Q184" s="16" t="s">
        <v>100</v>
      </c>
    </row>
    <row r="185" customFormat="false" ht="15" hidden="false" customHeight="false" outlineLevel="0" collapsed="false">
      <c r="A185" s="16" t="n">
        <v>39955</v>
      </c>
      <c r="B185" s="16" t="s">
        <v>1282</v>
      </c>
      <c r="C185" s="16" t="s">
        <v>1283</v>
      </c>
      <c r="D185" s="16" t="s">
        <v>23</v>
      </c>
      <c r="E185" s="16" t="s">
        <v>94</v>
      </c>
      <c r="F185" s="16" t="s">
        <v>1278</v>
      </c>
      <c r="G185" s="16" t="s">
        <v>33</v>
      </c>
      <c r="H185" s="16" t="s">
        <v>44</v>
      </c>
      <c r="I185" s="16" t="s">
        <v>33</v>
      </c>
      <c r="J185" s="16" t="s">
        <v>1284</v>
      </c>
      <c r="K185" s="16" t="n">
        <v>51.5186996459961</v>
      </c>
      <c r="L185" s="16" t="n">
        <v>-0.0601500608026981</v>
      </c>
      <c r="M185" s="16" t="s">
        <v>98</v>
      </c>
      <c r="N185" s="16" t="s">
        <v>1285</v>
      </c>
      <c r="O185" s="16" t="s">
        <v>1286</v>
      </c>
      <c r="P185" s="16" t="s">
        <v>1287</v>
      </c>
      <c r="Q185" s="16" t="s">
        <v>100</v>
      </c>
    </row>
    <row r="186" customFormat="false" ht="15" hidden="false" customHeight="false" outlineLevel="0" collapsed="false">
      <c r="A186" s="16" t="n">
        <v>39957</v>
      </c>
      <c r="B186" s="16" t="s">
        <v>1288</v>
      </c>
      <c r="C186" s="16" t="s">
        <v>1289</v>
      </c>
      <c r="D186" s="16" t="s">
        <v>23</v>
      </c>
      <c r="E186" s="16" t="s">
        <v>94</v>
      </c>
      <c r="F186" s="16" t="s">
        <v>1278</v>
      </c>
      <c r="G186" s="16" t="s">
        <v>33</v>
      </c>
      <c r="H186" s="16" t="s">
        <v>44</v>
      </c>
      <c r="I186" s="16" t="s">
        <v>33</v>
      </c>
      <c r="J186" s="16" t="s">
        <v>1290</v>
      </c>
      <c r="K186" s="16" t="n">
        <v>51.5250473022461</v>
      </c>
      <c r="L186" s="16" t="n">
        <v>-0.0421919599175453</v>
      </c>
      <c r="M186" s="16" t="s">
        <v>98</v>
      </c>
      <c r="N186" s="16" t="s">
        <v>1285</v>
      </c>
      <c r="O186" s="16" t="s">
        <v>1291</v>
      </c>
      <c r="P186" s="16" t="s">
        <v>1287</v>
      </c>
      <c r="Q186" s="16" t="s">
        <v>100</v>
      </c>
    </row>
    <row r="187" customFormat="false" ht="15" hidden="false" customHeight="false" outlineLevel="0" collapsed="false">
      <c r="A187" s="16" t="n">
        <v>39964</v>
      </c>
      <c r="B187" s="16" t="s">
        <v>1292</v>
      </c>
      <c r="C187" s="16" t="s">
        <v>1293</v>
      </c>
      <c r="D187" s="16" t="s">
        <v>23</v>
      </c>
      <c r="E187" s="16" t="s">
        <v>94</v>
      </c>
      <c r="F187" s="16" t="s">
        <v>1278</v>
      </c>
      <c r="G187" s="16" t="s">
        <v>33</v>
      </c>
      <c r="H187" s="16" t="s">
        <v>44</v>
      </c>
      <c r="I187" s="16" t="s">
        <v>33</v>
      </c>
      <c r="J187" s="16" t="s">
        <v>1294</v>
      </c>
      <c r="K187" s="16" t="n">
        <v>51.5788307189941</v>
      </c>
      <c r="L187" s="16" t="n">
        <v>0.0026527873706072</v>
      </c>
      <c r="M187" s="16" t="s">
        <v>98</v>
      </c>
      <c r="N187" s="16" t="s">
        <v>1295</v>
      </c>
      <c r="O187" s="16" t="s">
        <v>1296</v>
      </c>
      <c r="P187" s="16" t="s">
        <v>1287</v>
      </c>
      <c r="Q187" s="16" t="s">
        <v>100</v>
      </c>
    </row>
    <row r="188" customFormat="false" ht="15" hidden="false" customHeight="false" outlineLevel="0" collapsed="false">
      <c r="A188" s="16" t="n">
        <v>39966</v>
      </c>
      <c r="B188" s="16" t="s">
        <v>1297</v>
      </c>
      <c r="C188" s="16" t="s">
        <v>1298</v>
      </c>
      <c r="D188" s="16" t="s">
        <v>23</v>
      </c>
      <c r="E188" s="16" t="s">
        <v>94</v>
      </c>
      <c r="F188" s="16" t="s">
        <v>1278</v>
      </c>
      <c r="G188" s="16" t="s">
        <v>1299</v>
      </c>
      <c r="H188" s="16" t="s">
        <v>44</v>
      </c>
      <c r="I188" s="16" t="s">
        <v>33</v>
      </c>
      <c r="J188" s="16" t="s">
        <v>1300</v>
      </c>
      <c r="K188" s="16" t="n">
        <v>51.517749786377</v>
      </c>
      <c r="L188" s="16" t="n">
        <v>-0.100389920175076</v>
      </c>
      <c r="M188" s="16" t="s">
        <v>98</v>
      </c>
      <c r="N188" s="16" t="s">
        <v>1285</v>
      </c>
      <c r="O188" s="16" t="s">
        <v>1301</v>
      </c>
      <c r="P188" s="16" t="s">
        <v>1302</v>
      </c>
      <c r="Q188" s="16" t="s">
        <v>100</v>
      </c>
    </row>
    <row r="189" customFormat="false" ht="15" hidden="false" customHeight="false" outlineLevel="0" collapsed="false">
      <c r="A189" s="16" t="n">
        <v>39967</v>
      </c>
      <c r="B189" s="16" t="s">
        <v>1303</v>
      </c>
      <c r="C189" s="16" t="s">
        <v>1304</v>
      </c>
      <c r="D189" s="16" t="s">
        <v>23</v>
      </c>
      <c r="E189" s="16" t="s">
        <v>94</v>
      </c>
      <c r="F189" s="16" t="s">
        <v>1278</v>
      </c>
      <c r="G189" s="16" t="s">
        <v>33</v>
      </c>
      <c r="H189" s="16" t="s">
        <v>44</v>
      </c>
      <c r="I189" s="16" t="s">
        <v>33</v>
      </c>
      <c r="J189" s="16" t="s">
        <v>1279</v>
      </c>
      <c r="K189" s="16" t="n">
        <v>51.5227775573731</v>
      </c>
      <c r="L189" s="16" t="n">
        <v>0.0347316041588783</v>
      </c>
      <c r="M189" s="16" t="s">
        <v>98</v>
      </c>
      <c r="N189" s="16" t="s">
        <v>1305</v>
      </c>
      <c r="O189" s="16" t="s">
        <v>1306</v>
      </c>
      <c r="P189" s="16" t="s">
        <v>1287</v>
      </c>
      <c r="Q189" s="16" t="s">
        <v>100</v>
      </c>
    </row>
    <row r="190" customFormat="false" ht="15" hidden="false" customHeight="false" outlineLevel="0" collapsed="false">
      <c r="A190" s="16" t="n">
        <v>39970</v>
      </c>
      <c r="B190" s="16" t="s">
        <v>1307</v>
      </c>
      <c r="C190" s="16" t="s">
        <v>1308</v>
      </c>
      <c r="D190" s="16" t="s">
        <v>23</v>
      </c>
      <c r="E190" s="16" t="s">
        <v>94</v>
      </c>
      <c r="F190" s="16" t="s">
        <v>1309</v>
      </c>
      <c r="G190" s="16" t="s">
        <v>235</v>
      </c>
      <c r="H190" s="16" t="s">
        <v>46</v>
      </c>
      <c r="I190" s="16" t="s">
        <v>29</v>
      </c>
      <c r="J190" s="16" t="s">
        <v>1310</v>
      </c>
      <c r="K190" s="16" t="n">
        <v>51.2410163879395</v>
      </c>
      <c r="L190" s="16" t="n">
        <v>-0.607448279857636</v>
      </c>
      <c r="M190" s="16" t="s">
        <v>98</v>
      </c>
      <c r="N190" s="16" t="s">
        <v>1311</v>
      </c>
      <c r="O190" s="16"/>
      <c r="P190" s="16" t="s">
        <v>1312</v>
      </c>
      <c r="Q190" s="16" t="s">
        <v>100</v>
      </c>
    </row>
    <row r="191" customFormat="false" ht="15" hidden="false" customHeight="false" outlineLevel="0" collapsed="false">
      <c r="A191" s="16" t="n">
        <v>39985</v>
      </c>
      <c r="B191" s="16" t="s">
        <v>1313</v>
      </c>
      <c r="C191" s="16" t="s">
        <v>1314</v>
      </c>
      <c r="D191" s="16" t="s">
        <v>23</v>
      </c>
      <c r="E191" s="16" t="s">
        <v>94</v>
      </c>
      <c r="F191" s="16" t="s">
        <v>1315</v>
      </c>
      <c r="G191" s="16" t="s">
        <v>1316</v>
      </c>
      <c r="H191" s="16" t="s">
        <v>310</v>
      </c>
      <c r="I191" s="16" t="s">
        <v>30</v>
      </c>
      <c r="J191" s="16" t="s">
        <v>1317</v>
      </c>
      <c r="K191" s="16" t="n">
        <v>50.9448471069336</v>
      </c>
      <c r="L191" s="16" t="n">
        <v>-2.63469839096069</v>
      </c>
      <c r="M191" s="16" t="s">
        <v>98</v>
      </c>
      <c r="N191" s="16" t="s">
        <v>1318</v>
      </c>
      <c r="O191" s="16" t="s">
        <v>1319</v>
      </c>
      <c r="P191" s="16" t="s">
        <v>1320</v>
      </c>
      <c r="Q191" s="16" t="s">
        <v>100</v>
      </c>
    </row>
    <row r="192" customFormat="false" ht="15" hidden="false" customHeight="false" outlineLevel="0" collapsed="false">
      <c r="A192" s="16" t="n">
        <v>39987</v>
      </c>
      <c r="B192" s="16" t="s">
        <v>1321</v>
      </c>
      <c r="C192" s="16" t="s">
        <v>1322</v>
      </c>
      <c r="D192" s="16" t="s">
        <v>23</v>
      </c>
      <c r="E192" s="16" t="s">
        <v>94</v>
      </c>
      <c r="F192" s="16" t="s">
        <v>1323</v>
      </c>
      <c r="G192" s="16" t="s">
        <v>192</v>
      </c>
      <c r="H192" s="16" t="s">
        <v>56</v>
      </c>
      <c r="I192" s="16" t="s">
        <v>30</v>
      </c>
      <c r="J192" s="16" t="s">
        <v>1324</v>
      </c>
      <c r="K192" s="16" t="n">
        <v>51.4591865539551</v>
      </c>
      <c r="L192" s="16" t="n">
        <v>-2.59612464904785</v>
      </c>
      <c r="M192" s="16" t="s">
        <v>98</v>
      </c>
      <c r="N192" s="16" t="s">
        <v>1325</v>
      </c>
      <c r="O192" s="16"/>
      <c r="P192" s="16" t="s">
        <v>1326</v>
      </c>
      <c r="Q192" s="16" t="s">
        <v>100</v>
      </c>
    </row>
    <row r="193" customFormat="false" ht="15" hidden="false" customHeight="false" outlineLevel="0" collapsed="false">
      <c r="A193" s="16" t="n">
        <v>39991</v>
      </c>
      <c r="B193" s="16" t="s">
        <v>1327</v>
      </c>
      <c r="C193" s="16" t="s">
        <v>1328</v>
      </c>
      <c r="D193" s="16" t="s">
        <v>23</v>
      </c>
      <c r="E193" s="16" t="s">
        <v>94</v>
      </c>
      <c r="F193" s="16" t="s">
        <v>1323</v>
      </c>
      <c r="G193" s="16" t="s">
        <v>192</v>
      </c>
      <c r="H193" s="16" t="s">
        <v>56</v>
      </c>
      <c r="I193" s="16" t="s">
        <v>30</v>
      </c>
      <c r="J193" s="16" t="s">
        <v>1329</v>
      </c>
      <c r="K193" s="16" t="n">
        <v>51.4591369628906</v>
      </c>
      <c r="L193" s="16" t="n">
        <v>-2.59937691688538</v>
      </c>
      <c r="M193" s="16" t="s">
        <v>98</v>
      </c>
      <c r="N193" s="16" t="s">
        <v>1330</v>
      </c>
      <c r="O193" s="16"/>
      <c r="P193" s="16" t="s">
        <v>1331</v>
      </c>
      <c r="Q193" s="16" t="s">
        <v>100</v>
      </c>
    </row>
    <row r="194" customFormat="false" ht="15" hidden="false" customHeight="false" outlineLevel="0" collapsed="false">
      <c r="A194" s="16" t="n">
        <v>39992</v>
      </c>
      <c r="B194" s="16" t="s">
        <v>1332</v>
      </c>
      <c r="C194" s="16" t="s">
        <v>1333</v>
      </c>
      <c r="D194" s="16" t="s">
        <v>23</v>
      </c>
      <c r="E194" s="16" t="s">
        <v>94</v>
      </c>
      <c r="F194" s="16" t="s">
        <v>1323</v>
      </c>
      <c r="G194" s="16" t="s">
        <v>192</v>
      </c>
      <c r="H194" s="16" t="s">
        <v>56</v>
      </c>
      <c r="I194" s="16" t="s">
        <v>30</v>
      </c>
      <c r="J194" s="16" t="s">
        <v>1334</v>
      </c>
      <c r="K194" s="16" t="n">
        <v>51.458438873291</v>
      </c>
      <c r="L194" s="16" t="n">
        <v>-2.5945315361023</v>
      </c>
      <c r="M194" s="16" t="s">
        <v>98</v>
      </c>
      <c r="N194" s="16" t="s">
        <v>1335</v>
      </c>
      <c r="O194" s="16"/>
      <c r="P194" s="16" t="s">
        <v>1336</v>
      </c>
      <c r="Q194" s="16" t="s">
        <v>100</v>
      </c>
    </row>
    <row r="195" customFormat="false" ht="15" hidden="false" customHeight="false" outlineLevel="0" collapsed="false">
      <c r="A195" s="16" t="n">
        <v>39993</v>
      </c>
      <c r="B195" s="16" t="s">
        <v>1337</v>
      </c>
      <c r="C195" s="16" t="s">
        <v>1338</v>
      </c>
      <c r="D195" s="16" t="s">
        <v>23</v>
      </c>
      <c r="E195" s="16" t="s">
        <v>94</v>
      </c>
      <c r="F195" s="16" t="s">
        <v>1323</v>
      </c>
      <c r="G195" s="16" t="s">
        <v>192</v>
      </c>
      <c r="H195" s="16" t="s">
        <v>56</v>
      </c>
      <c r="I195" s="16" t="s">
        <v>30</v>
      </c>
      <c r="J195" s="16" t="s">
        <v>1339</v>
      </c>
      <c r="K195" s="16" t="n">
        <v>51.4586181640625</v>
      </c>
      <c r="L195" s="16" t="n">
        <v>-2.59518170356751</v>
      </c>
      <c r="M195" s="16" t="s">
        <v>98</v>
      </c>
      <c r="N195" s="16" t="s">
        <v>1340</v>
      </c>
      <c r="O195" s="16"/>
      <c r="P195" s="16" t="s">
        <v>1341</v>
      </c>
      <c r="Q195" s="16" t="s">
        <v>100</v>
      </c>
    </row>
    <row r="196" customFormat="false" ht="15" hidden="false" customHeight="false" outlineLevel="0" collapsed="false">
      <c r="A196" s="16" t="n">
        <v>39995</v>
      </c>
      <c r="B196" s="16" t="s">
        <v>1342</v>
      </c>
      <c r="C196" s="16" t="s">
        <v>1343</v>
      </c>
      <c r="D196" s="16" t="s">
        <v>23</v>
      </c>
      <c r="E196" s="16" t="s">
        <v>94</v>
      </c>
      <c r="F196" s="16" t="s">
        <v>1323</v>
      </c>
      <c r="G196" s="16" t="s">
        <v>192</v>
      </c>
      <c r="H196" s="16" t="s">
        <v>56</v>
      </c>
      <c r="I196" s="16" t="s">
        <v>30</v>
      </c>
      <c r="J196" s="16" t="s">
        <v>1344</v>
      </c>
      <c r="K196" s="16" t="n">
        <v>51.4577522277832</v>
      </c>
      <c r="L196" s="16" t="n">
        <v>-2.59731483459473</v>
      </c>
      <c r="M196" s="16" t="s">
        <v>98</v>
      </c>
      <c r="N196" s="16" t="s">
        <v>1345</v>
      </c>
      <c r="O196" s="16"/>
      <c r="P196" s="16" t="s">
        <v>1346</v>
      </c>
      <c r="Q196" s="16" t="s">
        <v>100</v>
      </c>
    </row>
    <row r="197" customFormat="false" ht="15" hidden="false" customHeight="false" outlineLevel="0" collapsed="false">
      <c r="A197" s="16" t="n">
        <v>40002</v>
      </c>
      <c r="B197" s="16" t="s">
        <v>1347</v>
      </c>
      <c r="C197" s="16" t="s">
        <v>1348</v>
      </c>
      <c r="D197" s="16" t="s">
        <v>23</v>
      </c>
      <c r="E197" s="16" t="s">
        <v>94</v>
      </c>
      <c r="F197" s="16" t="s">
        <v>1323</v>
      </c>
      <c r="G197" s="16" t="s">
        <v>192</v>
      </c>
      <c r="H197" s="16" t="s">
        <v>56</v>
      </c>
      <c r="I197" s="16" t="s">
        <v>30</v>
      </c>
      <c r="J197" s="16" t="s">
        <v>1349</v>
      </c>
      <c r="K197" s="16" t="n">
        <v>51.4109954833984</v>
      </c>
      <c r="L197" s="16" t="n">
        <v>-2.58492922782898</v>
      </c>
      <c r="M197" s="16" t="s">
        <v>98</v>
      </c>
      <c r="N197" s="16" t="s">
        <v>1325</v>
      </c>
      <c r="O197" s="16"/>
      <c r="P197" s="16" t="s">
        <v>1350</v>
      </c>
      <c r="Q197" s="16" t="s">
        <v>100</v>
      </c>
    </row>
    <row r="198" customFormat="false" ht="15" hidden="false" customHeight="false" outlineLevel="0" collapsed="false">
      <c r="A198" s="16" t="n">
        <v>40004</v>
      </c>
      <c r="B198" s="16" t="s">
        <v>1351</v>
      </c>
      <c r="C198" s="16" t="s">
        <v>1352</v>
      </c>
      <c r="D198" s="16" t="s">
        <v>23</v>
      </c>
      <c r="E198" s="16" t="s">
        <v>94</v>
      </c>
      <c r="F198" s="16" t="s">
        <v>1323</v>
      </c>
      <c r="G198" s="16" t="s">
        <v>1353</v>
      </c>
      <c r="H198" s="16" t="s">
        <v>56</v>
      </c>
      <c r="I198" s="16" t="s">
        <v>30</v>
      </c>
      <c r="J198" s="16" t="s">
        <v>1354</v>
      </c>
      <c r="K198" s="16" t="n">
        <v>51.3223419189453</v>
      </c>
      <c r="L198" s="16" t="n">
        <v>-2.97138476371765</v>
      </c>
      <c r="M198" s="16" t="s">
        <v>98</v>
      </c>
      <c r="N198" s="16"/>
      <c r="O198" s="16"/>
      <c r="P198" s="16"/>
      <c r="Q198" s="16" t="s">
        <v>100</v>
      </c>
    </row>
    <row r="199" customFormat="false" ht="15" hidden="false" customHeight="false" outlineLevel="0" collapsed="false">
      <c r="A199" s="16" t="n">
        <v>40006</v>
      </c>
      <c r="B199" s="16" t="s">
        <v>1355</v>
      </c>
      <c r="C199" s="16" t="s">
        <v>1356</v>
      </c>
      <c r="D199" s="16" t="s">
        <v>23</v>
      </c>
      <c r="E199" s="16" t="s">
        <v>94</v>
      </c>
      <c r="F199" s="16" t="s">
        <v>1357</v>
      </c>
      <c r="G199" s="16" t="s">
        <v>1060</v>
      </c>
      <c r="H199" s="16" t="s">
        <v>48</v>
      </c>
      <c r="I199" s="16" t="s">
        <v>30</v>
      </c>
      <c r="J199" s="16" t="s">
        <v>1358</v>
      </c>
      <c r="K199" s="16" t="n">
        <v>50.4823226928711</v>
      </c>
      <c r="L199" s="16" t="n">
        <v>-3.55379056930542</v>
      </c>
      <c r="M199" s="16" t="s">
        <v>98</v>
      </c>
      <c r="N199" s="16" t="s">
        <v>1359</v>
      </c>
      <c r="O199" s="16" t="s">
        <v>1360</v>
      </c>
      <c r="P199" s="16" t="s">
        <v>1361</v>
      </c>
      <c r="Q199" s="16" t="s">
        <v>100</v>
      </c>
    </row>
    <row r="200" customFormat="false" ht="15" hidden="false" customHeight="false" outlineLevel="0" collapsed="false">
      <c r="A200" s="16" t="n">
        <v>40049</v>
      </c>
      <c r="B200" s="16" t="s">
        <v>1362</v>
      </c>
      <c r="C200" s="16" t="s">
        <v>1363</v>
      </c>
      <c r="D200" s="16" t="s">
        <v>23</v>
      </c>
      <c r="E200" s="16" t="s">
        <v>94</v>
      </c>
      <c r="F200" s="16" t="s">
        <v>1357</v>
      </c>
      <c r="G200" s="16" t="s">
        <v>1364</v>
      </c>
      <c r="H200" s="16" t="s">
        <v>48</v>
      </c>
      <c r="I200" s="16" t="s">
        <v>30</v>
      </c>
      <c r="J200" s="16" t="s">
        <v>1365</v>
      </c>
      <c r="K200" s="16" t="n">
        <v>50.3894500732422</v>
      </c>
      <c r="L200" s="16" t="n">
        <v>-3.5138099193573</v>
      </c>
      <c r="M200" s="16" t="s">
        <v>98</v>
      </c>
      <c r="N200" s="16" t="s">
        <v>1366</v>
      </c>
      <c r="O200" s="16"/>
      <c r="P200" s="16" t="s">
        <v>1367</v>
      </c>
      <c r="Q200" s="16" t="s">
        <v>100</v>
      </c>
    </row>
    <row r="201" customFormat="false" ht="15" hidden="false" customHeight="false" outlineLevel="0" collapsed="false">
      <c r="A201" s="16" t="n">
        <v>40051</v>
      </c>
      <c r="B201" s="16" t="s">
        <v>1368</v>
      </c>
      <c r="C201" s="16" t="s">
        <v>1369</v>
      </c>
      <c r="D201" s="16" t="s">
        <v>23</v>
      </c>
      <c r="E201" s="16" t="s">
        <v>94</v>
      </c>
      <c r="F201" s="16" t="s">
        <v>1357</v>
      </c>
      <c r="G201" s="16" t="s">
        <v>1370</v>
      </c>
      <c r="H201" s="16" t="s">
        <v>48</v>
      </c>
      <c r="I201" s="16" t="s">
        <v>30</v>
      </c>
      <c r="J201" s="16" t="s">
        <v>1371</v>
      </c>
      <c r="K201" s="16" t="n">
        <v>50.5805892944336</v>
      </c>
      <c r="L201" s="16" t="n">
        <v>-3.47477412223816</v>
      </c>
      <c r="M201" s="16" t="s">
        <v>98</v>
      </c>
      <c r="N201" s="16" t="s">
        <v>1372</v>
      </c>
      <c r="O201" s="16"/>
      <c r="P201" s="16" t="s">
        <v>1373</v>
      </c>
      <c r="Q201" s="16" t="s">
        <v>100</v>
      </c>
    </row>
    <row r="202" customFormat="false" ht="15" hidden="false" customHeight="false" outlineLevel="0" collapsed="false">
      <c r="A202" s="16" t="n">
        <v>40052</v>
      </c>
      <c r="B202" s="16" t="s">
        <v>1374</v>
      </c>
      <c r="C202" s="16" t="s">
        <v>1375</v>
      </c>
      <c r="D202" s="16" t="s">
        <v>23</v>
      </c>
      <c r="E202" s="16" t="s">
        <v>94</v>
      </c>
      <c r="F202" s="16" t="s">
        <v>1357</v>
      </c>
      <c r="G202" s="16" t="s">
        <v>1376</v>
      </c>
      <c r="H202" s="16" t="s">
        <v>48</v>
      </c>
      <c r="I202" s="16" t="s">
        <v>30</v>
      </c>
      <c r="J202" s="16" t="s">
        <v>1377</v>
      </c>
      <c r="K202" s="16" t="n">
        <v>50.539363861084</v>
      </c>
      <c r="L202" s="16" t="n">
        <v>-3.61224174499512</v>
      </c>
      <c r="M202" s="16" t="s">
        <v>98</v>
      </c>
      <c r="N202" s="16" t="s">
        <v>1378</v>
      </c>
      <c r="O202" s="16"/>
      <c r="P202" s="16" t="s">
        <v>1379</v>
      </c>
      <c r="Q202" s="16" t="s">
        <v>100</v>
      </c>
    </row>
    <row r="203" customFormat="false" ht="15" hidden="false" customHeight="false" outlineLevel="0" collapsed="false">
      <c r="A203" s="16" t="n">
        <v>40053</v>
      </c>
      <c r="B203" s="16" t="s">
        <v>1380</v>
      </c>
      <c r="C203" s="16" t="s">
        <v>1381</v>
      </c>
      <c r="D203" s="16" t="s">
        <v>23</v>
      </c>
      <c r="E203" s="16" t="s">
        <v>94</v>
      </c>
      <c r="F203" s="16" t="s">
        <v>1357</v>
      </c>
      <c r="G203" s="16" t="s">
        <v>1382</v>
      </c>
      <c r="H203" s="16" t="s">
        <v>48</v>
      </c>
      <c r="I203" s="16" t="s">
        <v>30</v>
      </c>
      <c r="J203" s="16" t="s">
        <v>1383</v>
      </c>
      <c r="K203" s="16" t="n">
        <v>50.4371452331543</v>
      </c>
      <c r="L203" s="16" t="n">
        <v>-3.56878662109375</v>
      </c>
      <c r="M203" s="16" t="s">
        <v>98</v>
      </c>
      <c r="N203" s="16" t="s">
        <v>1384</v>
      </c>
      <c r="O203" s="16"/>
      <c r="P203" s="16" t="s">
        <v>1385</v>
      </c>
      <c r="Q203" s="16" t="s">
        <v>100</v>
      </c>
    </row>
    <row r="204" customFormat="false" ht="15" hidden="false" customHeight="false" outlineLevel="0" collapsed="false">
      <c r="A204" s="16" t="n">
        <v>40054</v>
      </c>
      <c r="B204" s="16" t="s">
        <v>1386</v>
      </c>
      <c r="C204" s="16" t="s">
        <v>1387</v>
      </c>
      <c r="D204" s="16" t="s">
        <v>23</v>
      </c>
      <c r="E204" s="16" t="s">
        <v>94</v>
      </c>
      <c r="F204" s="16" t="s">
        <v>1357</v>
      </c>
      <c r="G204" s="16" t="s">
        <v>1388</v>
      </c>
      <c r="H204" s="16" t="s">
        <v>48</v>
      </c>
      <c r="I204" s="16" t="s">
        <v>30</v>
      </c>
      <c r="J204" s="16" t="s">
        <v>1389</v>
      </c>
      <c r="K204" s="16" t="n">
        <v>50.5483741760254</v>
      </c>
      <c r="L204" s="16" t="n">
        <v>-3.51114559173584</v>
      </c>
      <c r="M204" s="16" t="s">
        <v>98</v>
      </c>
      <c r="N204" s="16" t="s">
        <v>1390</v>
      </c>
      <c r="O204" s="16"/>
      <c r="P204" s="16" t="s">
        <v>1391</v>
      </c>
      <c r="Q204" s="16" t="s">
        <v>100</v>
      </c>
    </row>
    <row r="205" customFormat="false" ht="15" hidden="false" customHeight="false" outlineLevel="0" collapsed="false">
      <c r="A205" s="16" t="n">
        <v>40055</v>
      </c>
      <c r="B205" s="16" t="s">
        <v>1392</v>
      </c>
      <c r="C205" s="16" t="s">
        <v>1393</v>
      </c>
      <c r="D205" s="16" t="s">
        <v>23</v>
      </c>
      <c r="E205" s="16" t="s">
        <v>94</v>
      </c>
      <c r="F205" s="16" t="s">
        <v>1357</v>
      </c>
      <c r="G205" s="16" t="s">
        <v>1394</v>
      </c>
      <c r="H205" s="16" t="s">
        <v>48</v>
      </c>
      <c r="I205" s="16" t="s">
        <v>30</v>
      </c>
      <c r="J205" s="16" t="s">
        <v>1395</v>
      </c>
      <c r="K205" s="16" t="n">
        <v>50.4327774047852</v>
      </c>
      <c r="L205" s="16" t="n">
        <v>-3.68417572975159</v>
      </c>
      <c r="M205" s="16" t="s">
        <v>98</v>
      </c>
      <c r="N205" s="16" t="s">
        <v>1396</v>
      </c>
      <c r="O205" s="16"/>
      <c r="P205" s="16" t="s">
        <v>1397</v>
      </c>
      <c r="Q205" s="16" t="s">
        <v>100</v>
      </c>
    </row>
    <row r="206" customFormat="false" ht="15" hidden="false" customHeight="false" outlineLevel="0" collapsed="false">
      <c r="A206" s="16" t="n">
        <v>40058</v>
      </c>
      <c r="B206" s="16" t="s">
        <v>1398</v>
      </c>
      <c r="C206" s="16" t="s">
        <v>1399</v>
      </c>
      <c r="D206" s="16" t="s">
        <v>23</v>
      </c>
      <c r="E206" s="16" t="s">
        <v>94</v>
      </c>
      <c r="F206" s="16" t="s">
        <v>1400</v>
      </c>
      <c r="G206" s="16" t="s">
        <v>1401</v>
      </c>
      <c r="H206" s="16" t="s">
        <v>50</v>
      </c>
      <c r="I206" s="16" t="s">
        <v>35</v>
      </c>
      <c r="J206" s="16" t="s">
        <v>1402</v>
      </c>
      <c r="K206" s="16" t="n">
        <v>53.8059844970703</v>
      </c>
      <c r="L206" s="16" t="n">
        <v>-1.79468166828156</v>
      </c>
      <c r="M206" s="16" t="s">
        <v>98</v>
      </c>
      <c r="N206" s="16" t="s">
        <v>1403</v>
      </c>
      <c r="O206" s="16"/>
      <c r="P206" s="16" t="s">
        <v>1404</v>
      </c>
      <c r="Q206" s="16" t="s">
        <v>100</v>
      </c>
    </row>
    <row r="207" customFormat="false" ht="15" hidden="false" customHeight="false" outlineLevel="0" collapsed="false">
      <c r="A207" s="16" t="n">
        <v>40059</v>
      </c>
      <c r="B207" s="16" t="s">
        <v>1405</v>
      </c>
      <c r="C207" s="16" t="s">
        <v>1406</v>
      </c>
      <c r="D207" s="16" t="s">
        <v>23</v>
      </c>
      <c r="E207" s="16" t="s">
        <v>94</v>
      </c>
      <c r="F207" s="16" t="s">
        <v>1400</v>
      </c>
      <c r="G207" s="16" t="s">
        <v>1401</v>
      </c>
      <c r="H207" s="16" t="s">
        <v>50</v>
      </c>
      <c r="I207" s="16" t="s">
        <v>35</v>
      </c>
      <c r="J207" s="16" t="s">
        <v>1407</v>
      </c>
      <c r="K207" s="16" t="n">
        <v>53.7837028503418</v>
      </c>
      <c r="L207" s="16" t="n">
        <v>-1.76068842411041</v>
      </c>
      <c r="M207" s="16" t="s">
        <v>98</v>
      </c>
      <c r="N207" s="16" t="s">
        <v>1408</v>
      </c>
      <c r="O207" s="16"/>
      <c r="P207" s="16" t="s">
        <v>1404</v>
      </c>
      <c r="Q207" s="16" t="s">
        <v>100</v>
      </c>
    </row>
    <row r="208" customFormat="false" ht="15" hidden="false" customHeight="false" outlineLevel="0" collapsed="false">
      <c r="A208" s="16" t="n">
        <v>40060</v>
      </c>
      <c r="B208" s="16" t="s">
        <v>1409</v>
      </c>
      <c r="C208" s="16" t="s">
        <v>1410</v>
      </c>
      <c r="D208" s="16" t="s">
        <v>23</v>
      </c>
      <c r="E208" s="16" t="s">
        <v>94</v>
      </c>
      <c r="F208" s="16" t="s">
        <v>1400</v>
      </c>
      <c r="G208" s="16" t="s">
        <v>1411</v>
      </c>
      <c r="H208" s="16" t="s">
        <v>50</v>
      </c>
      <c r="I208" s="16" t="s">
        <v>35</v>
      </c>
      <c r="J208" s="16" t="s">
        <v>1412</v>
      </c>
      <c r="K208" s="16" t="n">
        <v>53.8334350585938</v>
      </c>
      <c r="L208" s="16" t="n">
        <v>-1.78626656532288</v>
      </c>
      <c r="M208" s="16" t="s">
        <v>98</v>
      </c>
      <c r="N208" s="16" t="s">
        <v>1413</v>
      </c>
      <c r="O208" s="16"/>
      <c r="P208" s="16"/>
      <c r="Q208" s="16" t="s">
        <v>100</v>
      </c>
    </row>
    <row r="209" customFormat="false" ht="15" hidden="false" customHeight="false" outlineLevel="0" collapsed="false">
      <c r="A209" s="16" t="n">
        <v>40061</v>
      </c>
      <c r="B209" s="16" t="s">
        <v>1414</v>
      </c>
      <c r="C209" s="16" t="s">
        <v>1415</v>
      </c>
      <c r="D209" s="16" t="s">
        <v>23</v>
      </c>
      <c r="E209" s="16" t="s">
        <v>94</v>
      </c>
      <c r="F209" s="16" t="s">
        <v>1400</v>
      </c>
      <c r="G209" s="16" t="s">
        <v>1401</v>
      </c>
      <c r="H209" s="16" t="s">
        <v>50</v>
      </c>
      <c r="I209" s="16" t="s">
        <v>35</v>
      </c>
      <c r="J209" s="16" t="s">
        <v>1416</v>
      </c>
      <c r="K209" s="16" t="n">
        <v>53.8230781555176</v>
      </c>
      <c r="L209" s="16" t="n">
        <v>-1.71211171150208</v>
      </c>
      <c r="M209" s="16" t="s">
        <v>98</v>
      </c>
      <c r="N209" s="16" t="s">
        <v>1417</v>
      </c>
      <c r="O209" s="16"/>
      <c r="P209" s="16"/>
      <c r="Q209" s="16" t="s">
        <v>100</v>
      </c>
    </row>
    <row r="210" customFormat="false" ht="15" hidden="false" customHeight="false" outlineLevel="0" collapsed="false">
      <c r="A210" s="16" t="n">
        <v>40067</v>
      </c>
      <c r="B210" s="16" t="s">
        <v>1418</v>
      </c>
      <c r="C210" s="16" t="s">
        <v>1419</v>
      </c>
      <c r="D210" s="16" t="s">
        <v>23</v>
      </c>
      <c r="E210" s="16" t="s">
        <v>94</v>
      </c>
      <c r="F210" s="16" t="s">
        <v>1420</v>
      </c>
      <c r="G210" s="16" t="s">
        <v>830</v>
      </c>
      <c r="H210" s="16" t="s">
        <v>49</v>
      </c>
      <c r="I210" s="16" t="s">
        <v>32</v>
      </c>
      <c r="J210" s="16" t="s">
        <v>1421</v>
      </c>
      <c r="K210" s="16" t="n">
        <v>51.5538368225098</v>
      </c>
      <c r="L210" s="16" t="n">
        <v>0.688631772994995</v>
      </c>
      <c r="M210" s="16" t="s">
        <v>98</v>
      </c>
      <c r="N210" s="16" t="s">
        <v>1422</v>
      </c>
      <c r="O210" s="16"/>
      <c r="P210" s="16" t="s">
        <v>1423</v>
      </c>
      <c r="Q210" s="16" t="s">
        <v>100</v>
      </c>
    </row>
    <row r="211" customFormat="false" ht="15" hidden="false" customHeight="false" outlineLevel="0" collapsed="false">
      <c r="A211" s="16" t="n">
        <v>40069</v>
      </c>
      <c r="B211" s="16" t="s">
        <v>1424</v>
      </c>
      <c r="C211" s="16" t="s">
        <v>1425</v>
      </c>
      <c r="D211" s="16" t="s">
        <v>23</v>
      </c>
      <c r="E211" s="16" t="s">
        <v>94</v>
      </c>
      <c r="F211" s="16" t="s">
        <v>1420</v>
      </c>
      <c r="G211" s="16" t="s">
        <v>181</v>
      </c>
      <c r="H211" s="16" t="s">
        <v>49</v>
      </c>
      <c r="I211" s="16" t="s">
        <v>32</v>
      </c>
      <c r="J211" s="16" t="s">
        <v>1426</v>
      </c>
      <c r="K211" s="16" t="n">
        <v>51.6235504150391</v>
      </c>
      <c r="L211" s="16" t="n">
        <v>0.31641498208046</v>
      </c>
      <c r="M211" s="16" t="s">
        <v>98</v>
      </c>
      <c r="N211" s="16" t="s">
        <v>1427</v>
      </c>
      <c r="O211" s="16"/>
      <c r="P211" s="16"/>
      <c r="Q211" s="16" t="s">
        <v>100</v>
      </c>
    </row>
    <row r="212" customFormat="false" ht="15" hidden="false" customHeight="false" outlineLevel="0" collapsed="false">
      <c r="A212" s="16" t="n">
        <v>40073</v>
      </c>
      <c r="B212" s="16" t="s">
        <v>1428</v>
      </c>
      <c r="C212" s="16" t="s">
        <v>1429</v>
      </c>
      <c r="D212" s="16" t="s">
        <v>23</v>
      </c>
      <c r="E212" s="16" t="s">
        <v>94</v>
      </c>
      <c r="F212" s="16" t="s">
        <v>1430</v>
      </c>
      <c r="G212" s="16" t="s">
        <v>33</v>
      </c>
      <c r="H212" s="16" t="s">
        <v>44</v>
      </c>
      <c r="I212" s="16" t="s">
        <v>33</v>
      </c>
      <c r="J212" s="16" t="s">
        <v>1431</v>
      </c>
      <c r="K212" s="16" t="n">
        <v>51.55322265625</v>
      </c>
      <c r="L212" s="16" t="n">
        <v>-0.165309235453606</v>
      </c>
      <c r="M212" s="16" t="s">
        <v>98</v>
      </c>
      <c r="N212" s="16" t="s">
        <v>1432</v>
      </c>
      <c r="O212" s="16" t="s">
        <v>1433</v>
      </c>
      <c r="P212" s="16" t="s">
        <v>1434</v>
      </c>
      <c r="Q212" s="16" t="s">
        <v>100</v>
      </c>
    </row>
    <row r="213" customFormat="false" ht="15" hidden="false" customHeight="false" outlineLevel="0" collapsed="false">
      <c r="A213" s="16" t="n">
        <v>40077</v>
      </c>
      <c r="B213" s="16" t="s">
        <v>1435</v>
      </c>
      <c r="C213" s="16" t="s">
        <v>1436</v>
      </c>
      <c r="D213" s="16" t="s">
        <v>23</v>
      </c>
      <c r="E213" s="16" t="s">
        <v>94</v>
      </c>
      <c r="F213" s="16" t="s">
        <v>1430</v>
      </c>
      <c r="G213" s="16" t="s">
        <v>33</v>
      </c>
      <c r="H213" s="16" t="s">
        <v>44</v>
      </c>
      <c r="I213" s="16" t="s">
        <v>33</v>
      </c>
      <c r="J213" s="16" t="s">
        <v>1437</v>
      </c>
      <c r="K213" s="16" t="n">
        <v>51.6054573059082</v>
      </c>
      <c r="L213" s="16" t="n">
        <v>-0.176605820655823</v>
      </c>
      <c r="M213" s="16" t="s">
        <v>98</v>
      </c>
      <c r="N213" s="16" t="s">
        <v>1438</v>
      </c>
      <c r="O213" s="16"/>
      <c r="P213" s="16"/>
      <c r="Q213" s="16" t="s">
        <v>100</v>
      </c>
    </row>
    <row r="214" customFormat="false" ht="15" hidden="false" customHeight="false" outlineLevel="0" collapsed="false">
      <c r="A214" s="16" t="n">
        <v>40083</v>
      </c>
      <c r="B214" s="16" t="s">
        <v>1439</v>
      </c>
      <c r="C214" s="16" t="s">
        <v>1440</v>
      </c>
      <c r="D214" s="16" t="s">
        <v>23</v>
      </c>
      <c r="E214" s="16" t="s">
        <v>94</v>
      </c>
      <c r="F214" s="16" t="s">
        <v>1430</v>
      </c>
      <c r="G214" s="16" t="s">
        <v>1441</v>
      </c>
      <c r="H214" s="16" t="s">
        <v>595</v>
      </c>
      <c r="I214" s="16" t="s">
        <v>33</v>
      </c>
      <c r="J214" s="16" t="s">
        <v>1442</v>
      </c>
      <c r="K214" s="16" t="n">
        <v>51.6064949035645</v>
      </c>
      <c r="L214" s="16" t="n">
        <v>-0.271227777004242</v>
      </c>
      <c r="M214" s="16" t="s">
        <v>98</v>
      </c>
      <c r="N214" s="16" t="s">
        <v>1443</v>
      </c>
      <c r="O214" s="16"/>
      <c r="P214" s="16" t="s">
        <v>1434</v>
      </c>
      <c r="Q214" s="16" t="s">
        <v>100</v>
      </c>
    </row>
    <row r="215" customFormat="false" ht="15" hidden="false" customHeight="false" outlineLevel="0" collapsed="false">
      <c r="A215" s="16" t="n">
        <v>40087</v>
      </c>
      <c r="B215" s="16" t="s">
        <v>1444</v>
      </c>
      <c r="C215" s="16" t="s">
        <v>1445</v>
      </c>
      <c r="D215" s="16" t="s">
        <v>23</v>
      </c>
      <c r="E215" s="16" t="s">
        <v>94</v>
      </c>
      <c r="F215" s="16" t="s">
        <v>1446</v>
      </c>
      <c r="G215" s="16" t="s">
        <v>1447</v>
      </c>
      <c r="H215" s="16" t="s">
        <v>595</v>
      </c>
      <c r="I215" s="16" t="s">
        <v>33</v>
      </c>
      <c r="J215" s="16" t="s">
        <v>1448</v>
      </c>
      <c r="K215" s="16" t="n">
        <v>51.6325645446777</v>
      </c>
      <c r="L215" s="16" t="n">
        <v>-0.310420960187912</v>
      </c>
      <c r="M215" s="16" t="s">
        <v>98</v>
      </c>
      <c r="N215" s="16" t="s">
        <v>1449</v>
      </c>
      <c r="O215" s="16" t="s">
        <v>1450</v>
      </c>
      <c r="P215" s="16" t="s">
        <v>1451</v>
      </c>
      <c r="Q215" s="16" t="s">
        <v>100</v>
      </c>
    </row>
    <row r="216" customFormat="false" ht="15" hidden="false" customHeight="false" outlineLevel="0" collapsed="false">
      <c r="A216" s="16" t="n">
        <v>40088</v>
      </c>
      <c r="B216" s="16" t="s">
        <v>1452</v>
      </c>
      <c r="C216" s="16" t="s">
        <v>1453</v>
      </c>
      <c r="D216" s="16" t="s">
        <v>23</v>
      </c>
      <c r="E216" s="16" t="s">
        <v>94</v>
      </c>
      <c r="F216" s="16" t="s">
        <v>1446</v>
      </c>
      <c r="G216" s="16" t="s">
        <v>33</v>
      </c>
      <c r="H216" s="16" t="s">
        <v>44</v>
      </c>
      <c r="I216" s="16" t="s">
        <v>33</v>
      </c>
      <c r="J216" s="16" t="s">
        <v>1454</v>
      </c>
      <c r="K216" s="16" t="n">
        <v>51.5233116149902</v>
      </c>
      <c r="L216" s="16" t="n">
        <v>-0.143274530768394</v>
      </c>
      <c r="M216" s="16" t="s">
        <v>98</v>
      </c>
      <c r="N216" s="16" t="s">
        <v>1449</v>
      </c>
      <c r="O216" s="16" t="s">
        <v>1450</v>
      </c>
      <c r="P216" s="16" t="s">
        <v>1451</v>
      </c>
      <c r="Q216" s="16" t="s">
        <v>100</v>
      </c>
    </row>
    <row r="217" customFormat="false" ht="15" hidden="false" customHeight="false" outlineLevel="0" collapsed="false">
      <c r="A217" s="16" t="n">
        <v>40091</v>
      </c>
      <c r="B217" s="16" t="s">
        <v>1455</v>
      </c>
      <c r="C217" s="16" t="s">
        <v>1456</v>
      </c>
      <c r="D217" s="16" t="s">
        <v>23</v>
      </c>
      <c r="E217" s="16" t="s">
        <v>94</v>
      </c>
      <c r="F217" s="16" t="s">
        <v>1457</v>
      </c>
      <c r="G217" s="16" t="s">
        <v>33</v>
      </c>
      <c r="H217" s="16" t="s">
        <v>44</v>
      </c>
      <c r="I217" s="16" t="s">
        <v>33</v>
      </c>
      <c r="J217" s="16" t="s">
        <v>1458</v>
      </c>
      <c r="K217" s="16" t="n">
        <v>51.613094329834</v>
      </c>
      <c r="L217" s="16" t="n">
        <v>-0.0737351402640342</v>
      </c>
      <c r="M217" s="16" t="s">
        <v>98</v>
      </c>
      <c r="N217" s="16" t="s">
        <v>1459</v>
      </c>
      <c r="O217" s="16"/>
      <c r="P217" s="16" t="s">
        <v>1460</v>
      </c>
      <c r="Q217" s="16" t="s">
        <v>100</v>
      </c>
    </row>
    <row r="218" customFormat="false" ht="15" hidden="false" customHeight="false" outlineLevel="0" collapsed="false">
      <c r="A218" s="16" t="n">
        <v>40095</v>
      </c>
      <c r="B218" s="16" t="s">
        <v>1461</v>
      </c>
      <c r="C218" s="16" t="s">
        <v>1462</v>
      </c>
      <c r="D218" s="16" t="s">
        <v>23</v>
      </c>
      <c r="E218" s="16" t="s">
        <v>94</v>
      </c>
      <c r="F218" s="16" t="s">
        <v>1463</v>
      </c>
      <c r="G218" s="16" t="s">
        <v>1464</v>
      </c>
      <c r="H218" s="16" t="s">
        <v>595</v>
      </c>
      <c r="I218" s="16" t="s">
        <v>33</v>
      </c>
      <c r="J218" s="16" t="s">
        <v>1465</v>
      </c>
      <c r="K218" s="16" t="n">
        <v>51.5260772705078</v>
      </c>
      <c r="L218" s="16" t="n">
        <v>-0.461160361766815</v>
      </c>
      <c r="M218" s="16" t="s">
        <v>98</v>
      </c>
      <c r="N218" s="16" t="s">
        <v>1466</v>
      </c>
      <c r="O218" s="16"/>
      <c r="P218" s="16" t="s">
        <v>1467</v>
      </c>
      <c r="Q218" s="16" t="s">
        <v>100</v>
      </c>
    </row>
    <row r="219" customFormat="false" ht="15" hidden="false" customHeight="false" outlineLevel="0" collapsed="false">
      <c r="A219" s="16" t="n">
        <v>40096</v>
      </c>
      <c r="B219" s="16" t="s">
        <v>1468</v>
      </c>
      <c r="C219" s="16" t="s">
        <v>1469</v>
      </c>
      <c r="D219" s="16" t="s">
        <v>23</v>
      </c>
      <c r="E219" s="16" t="s">
        <v>94</v>
      </c>
      <c r="F219" s="16" t="s">
        <v>1463</v>
      </c>
      <c r="G219" s="16" t="s">
        <v>594</v>
      </c>
      <c r="H219" s="16" t="s">
        <v>595</v>
      </c>
      <c r="I219" s="16" t="s">
        <v>33</v>
      </c>
      <c r="J219" s="16" t="s">
        <v>1470</v>
      </c>
      <c r="K219" s="16" t="n">
        <v>51.6149253845215</v>
      </c>
      <c r="L219" s="16" t="n">
        <v>-0.445808202028275</v>
      </c>
      <c r="M219" s="16" t="s">
        <v>98</v>
      </c>
      <c r="N219" s="16" t="s">
        <v>1471</v>
      </c>
      <c r="O219" s="16"/>
      <c r="P219" s="16" t="s">
        <v>1467</v>
      </c>
      <c r="Q219" s="16" t="s">
        <v>100</v>
      </c>
    </row>
    <row r="220" customFormat="false" ht="15" hidden="false" customHeight="false" outlineLevel="0" collapsed="false">
      <c r="A220" s="16" t="n">
        <v>40109</v>
      </c>
      <c r="B220" s="16" t="s">
        <v>1472</v>
      </c>
      <c r="C220" s="16" t="s">
        <v>1473</v>
      </c>
      <c r="D220" s="16" t="s">
        <v>23</v>
      </c>
      <c r="E220" s="16" t="s">
        <v>94</v>
      </c>
      <c r="F220" s="16" t="s">
        <v>1474</v>
      </c>
      <c r="G220" s="16" t="s">
        <v>1475</v>
      </c>
      <c r="H220" s="16" t="s">
        <v>46</v>
      </c>
      <c r="I220" s="16" t="s">
        <v>29</v>
      </c>
      <c r="J220" s="16" t="s">
        <v>1476</v>
      </c>
      <c r="K220" s="16" t="n">
        <v>51.4148254394531</v>
      </c>
      <c r="L220" s="16" t="n">
        <v>-0.28260949254036</v>
      </c>
      <c r="M220" s="16" t="s">
        <v>98</v>
      </c>
      <c r="N220" s="16" t="s">
        <v>1477</v>
      </c>
      <c r="O220" s="16" t="s">
        <v>1478</v>
      </c>
      <c r="P220" s="16" t="s">
        <v>1479</v>
      </c>
      <c r="Q220" s="16" t="s">
        <v>100</v>
      </c>
    </row>
    <row r="221" customFormat="false" ht="15" hidden="false" customHeight="false" outlineLevel="0" collapsed="false">
      <c r="A221" s="16" t="n">
        <v>40115</v>
      </c>
      <c r="B221" s="16" t="s">
        <v>1480</v>
      </c>
      <c r="C221" s="16" t="s">
        <v>1481</v>
      </c>
      <c r="D221" s="16" t="s">
        <v>23</v>
      </c>
      <c r="E221" s="16" t="s">
        <v>94</v>
      </c>
      <c r="F221" s="16" t="s">
        <v>1482</v>
      </c>
      <c r="G221" s="16" t="s">
        <v>309</v>
      </c>
      <c r="H221" s="16" t="s">
        <v>310</v>
      </c>
      <c r="I221" s="16" t="s">
        <v>30</v>
      </c>
      <c r="J221" s="16" t="s">
        <v>1483</v>
      </c>
      <c r="K221" s="16" t="n">
        <v>51.0115776062012</v>
      </c>
      <c r="L221" s="16" t="n">
        <v>-3.12167954444885</v>
      </c>
      <c r="M221" s="16" t="s">
        <v>98</v>
      </c>
      <c r="N221" s="16" t="s">
        <v>1484</v>
      </c>
      <c r="O221" s="16"/>
      <c r="P221" s="16" t="s">
        <v>1485</v>
      </c>
      <c r="Q221" s="16" t="s">
        <v>100</v>
      </c>
    </row>
    <row r="222" customFormat="false" ht="15" hidden="false" customHeight="false" outlineLevel="0" collapsed="false">
      <c r="A222" s="16" t="n">
        <v>40130</v>
      </c>
      <c r="B222" s="16" t="s">
        <v>1486</v>
      </c>
      <c r="C222" s="16" t="s">
        <v>1487</v>
      </c>
      <c r="D222" s="16" t="s">
        <v>23</v>
      </c>
      <c r="E222" s="16" t="s">
        <v>94</v>
      </c>
      <c r="F222" s="16" t="s">
        <v>1488</v>
      </c>
      <c r="G222" s="16" t="s">
        <v>775</v>
      </c>
      <c r="H222" s="16" t="s">
        <v>53</v>
      </c>
      <c r="I222" s="16" t="s">
        <v>30</v>
      </c>
      <c r="J222" s="16" t="s">
        <v>1489</v>
      </c>
      <c r="K222" s="16" t="n">
        <v>50.7129440307617</v>
      </c>
      <c r="L222" s="16" t="n">
        <v>-2.44692254066467</v>
      </c>
      <c r="M222" s="16" t="s">
        <v>98</v>
      </c>
      <c r="N222" s="16" t="s">
        <v>1490</v>
      </c>
      <c r="O222" s="16" t="s">
        <v>1491</v>
      </c>
      <c r="P222" s="16" t="s">
        <v>1492</v>
      </c>
      <c r="Q222" s="16" t="s">
        <v>100</v>
      </c>
    </row>
    <row r="223" customFormat="false" ht="15" hidden="false" customHeight="false" outlineLevel="0" collapsed="false">
      <c r="A223" s="16" t="n">
        <v>40154</v>
      </c>
      <c r="B223" s="16" t="s">
        <v>1493</v>
      </c>
      <c r="C223" s="16" t="s">
        <v>1494</v>
      </c>
      <c r="D223" s="16" t="s">
        <v>23</v>
      </c>
      <c r="E223" s="16" t="s">
        <v>94</v>
      </c>
      <c r="F223" s="16" t="s">
        <v>1495</v>
      </c>
      <c r="G223" s="16" t="s">
        <v>1496</v>
      </c>
      <c r="H223" s="16" t="s">
        <v>34</v>
      </c>
      <c r="I223" s="16" t="s">
        <v>34</v>
      </c>
      <c r="J223" s="16" t="s">
        <v>1497</v>
      </c>
      <c r="K223" s="16" t="n">
        <v>52.582332611084</v>
      </c>
      <c r="L223" s="16" t="n">
        <v>-1.99890911579132</v>
      </c>
      <c r="M223" s="16" t="s">
        <v>98</v>
      </c>
      <c r="N223" s="16" t="s">
        <v>1498</v>
      </c>
      <c r="O223" s="16" t="s">
        <v>1499</v>
      </c>
      <c r="P223" s="16" t="s">
        <v>1500</v>
      </c>
      <c r="Q223" s="16" t="s">
        <v>100</v>
      </c>
    </row>
    <row r="224" customFormat="false" ht="15" hidden="false" customHeight="false" outlineLevel="0" collapsed="false">
      <c r="A224" s="16" t="n">
        <v>40162</v>
      </c>
      <c r="B224" s="16" t="s">
        <v>1501</v>
      </c>
      <c r="C224" s="16" t="s">
        <v>1502</v>
      </c>
      <c r="D224" s="16" t="s">
        <v>23</v>
      </c>
      <c r="E224" s="16" t="s">
        <v>94</v>
      </c>
      <c r="F224" s="16" t="s">
        <v>1503</v>
      </c>
      <c r="G224" s="16" t="s">
        <v>1504</v>
      </c>
      <c r="H224" s="16" t="s">
        <v>52</v>
      </c>
      <c r="I224" s="16" t="s">
        <v>31</v>
      </c>
      <c r="J224" s="16" t="s">
        <v>1505</v>
      </c>
      <c r="K224" s="16" t="n">
        <v>53.4156608581543</v>
      </c>
      <c r="L224" s="16" t="n">
        <v>-3.0458505153656</v>
      </c>
      <c r="M224" s="16" t="s">
        <v>98</v>
      </c>
      <c r="N224" s="16" t="s">
        <v>1506</v>
      </c>
      <c r="O224" s="16" t="s">
        <v>1507</v>
      </c>
      <c r="P224" s="16" t="s">
        <v>1508</v>
      </c>
      <c r="Q224" s="16" t="s">
        <v>100</v>
      </c>
    </row>
    <row r="225" customFormat="false" ht="15" hidden="false" customHeight="false" outlineLevel="0" collapsed="false">
      <c r="A225" s="16" t="n">
        <v>40163</v>
      </c>
      <c r="B225" s="16" t="s">
        <v>1509</v>
      </c>
      <c r="C225" s="16" t="s">
        <v>1510</v>
      </c>
      <c r="D225" s="16" t="s">
        <v>23</v>
      </c>
      <c r="E225" s="16" t="s">
        <v>94</v>
      </c>
      <c r="F225" s="16" t="s">
        <v>1503</v>
      </c>
      <c r="G225" s="16" t="s">
        <v>469</v>
      </c>
      <c r="H225" s="16" t="s">
        <v>52</v>
      </c>
      <c r="I225" s="16" t="s">
        <v>31</v>
      </c>
      <c r="J225" s="16" t="s">
        <v>1511</v>
      </c>
      <c r="K225" s="16" t="n">
        <v>53.36962890625</v>
      </c>
      <c r="L225" s="16" t="n">
        <v>-3.09680080413818</v>
      </c>
      <c r="M225" s="16" t="s">
        <v>98</v>
      </c>
      <c r="N225" s="16" t="s">
        <v>1506</v>
      </c>
      <c r="O225" s="16" t="s">
        <v>1512</v>
      </c>
      <c r="P225" s="16" t="s">
        <v>1508</v>
      </c>
      <c r="Q225" s="16" t="s">
        <v>100</v>
      </c>
    </row>
    <row r="226" customFormat="false" ht="15" hidden="false" customHeight="false" outlineLevel="0" collapsed="false">
      <c r="A226" s="16" t="n">
        <v>40164</v>
      </c>
      <c r="B226" s="16" t="s">
        <v>1513</v>
      </c>
      <c r="C226" s="16" t="s">
        <v>1514</v>
      </c>
      <c r="D226" s="16" t="s">
        <v>23</v>
      </c>
      <c r="E226" s="16" t="s">
        <v>94</v>
      </c>
      <c r="F226" s="16" t="s">
        <v>1503</v>
      </c>
      <c r="G226" s="16" t="s">
        <v>469</v>
      </c>
      <c r="H226" s="16" t="s">
        <v>52</v>
      </c>
      <c r="I226" s="16" t="s">
        <v>31</v>
      </c>
      <c r="J226" s="16" t="s">
        <v>1515</v>
      </c>
      <c r="K226" s="16" t="n">
        <v>53.3328895568848</v>
      </c>
      <c r="L226" s="16" t="n">
        <v>-3.0241219997406</v>
      </c>
      <c r="M226" s="16" t="s">
        <v>98</v>
      </c>
      <c r="N226" s="16" t="s">
        <v>1516</v>
      </c>
      <c r="O226" s="16" t="s">
        <v>1507</v>
      </c>
      <c r="P226" s="16" t="s">
        <v>1508</v>
      </c>
      <c r="Q226" s="16" t="s">
        <v>100</v>
      </c>
    </row>
    <row r="227" customFormat="false" ht="15" hidden="false" customHeight="false" outlineLevel="0" collapsed="false">
      <c r="A227" s="16" t="n">
        <v>40168</v>
      </c>
      <c r="B227" s="16" t="s">
        <v>1517</v>
      </c>
      <c r="C227" s="16" t="s">
        <v>1518</v>
      </c>
      <c r="D227" s="16" t="s">
        <v>23</v>
      </c>
      <c r="E227" s="16" t="s">
        <v>94</v>
      </c>
      <c r="F227" s="16" t="s">
        <v>1519</v>
      </c>
      <c r="G227" s="16" t="s">
        <v>1520</v>
      </c>
      <c r="H227" s="16" t="s">
        <v>52</v>
      </c>
      <c r="I227" s="16" t="s">
        <v>31</v>
      </c>
      <c r="J227" s="16" t="s">
        <v>1521</v>
      </c>
      <c r="K227" s="16" t="n">
        <v>53.4204750061035</v>
      </c>
      <c r="L227" s="16" t="n">
        <v>-2.78493905067444</v>
      </c>
      <c r="M227" s="16" t="s">
        <v>98</v>
      </c>
      <c r="N227" s="16" t="s">
        <v>1522</v>
      </c>
      <c r="O227" s="16" t="s">
        <v>1523</v>
      </c>
      <c r="P227" s="16" t="s">
        <v>1524</v>
      </c>
      <c r="Q227" s="16" t="s">
        <v>100</v>
      </c>
    </row>
    <row r="228" customFormat="false" ht="15" hidden="false" customHeight="false" outlineLevel="0" collapsed="false">
      <c r="A228" s="16" t="n">
        <v>40169</v>
      </c>
      <c r="B228" s="16" t="s">
        <v>1525</v>
      </c>
      <c r="C228" s="16" t="s">
        <v>1526</v>
      </c>
      <c r="D228" s="16" t="s">
        <v>23</v>
      </c>
      <c r="E228" s="16" t="s">
        <v>94</v>
      </c>
      <c r="F228" s="16" t="s">
        <v>1519</v>
      </c>
      <c r="G228" s="16" t="s">
        <v>1206</v>
      </c>
      <c r="H228" s="16" t="s">
        <v>52</v>
      </c>
      <c r="I228" s="16" t="s">
        <v>31</v>
      </c>
      <c r="J228" s="16" t="s">
        <v>1527</v>
      </c>
      <c r="K228" s="16" t="n">
        <v>53.4395332336426</v>
      </c>
      <c r="L228" s="16" t="n">
        <v>-2.7188868522644</v>
      </c>
      <c r="M228" s="16" t="s">
        <v>98</v>
      </c>
      <c r="N228" s="16" t="s">
        <v>1522</v>
      </c>
      <c r="O228" s="16" t="s">
        <v>1523</v>
      </c>
      <c r="P228" s="16" t="s">
        <v>1524</v>
      </c>
      <c r="Q228" s="16" t="s">
        <v>100</v>
      </c>
    </row>
    <row r="229" customFormat="false" ht="15" hidden="false" customHeight="false" outlineLevel="0" collapsed="false">
      <c r="A229" s="16" t="n">
        <v>40188</v>
      </c>
      <c r="B229" s="16" t="s">
        <v>1528</v>
      </c>
      <c r="C229" s="16" t="s">
        <v>1529</v>
      </c>
      <c r="D229" s="16" t="s">
        <v>23</v>
      </c>
      <c r="E229" s="16" t="s">
        <v>94</v>
      </c>
      <c r="F229" s="16" t="s">
        <v>1530</v>
      </c>
      <c r="G229" s="16" t="s">
        <v>495</v>
      </c>
      <c r="H229" s="16" t="s">
        <v>52</v>
      </c>
      <c r="I229" s="16" t="s">
        <v>31</v>
      </c>
      <c r="J229" s="16" t="s">
        <v>1531</v>
      </c>
      <c r="K229" s="16" t="n">
        <v>53.4111557006836</v>
      </c>
      <c r="L229" s="16" t="n">
        <v>-2.89797472953796</v>
      </c>
      <c r="M229" s="16" t="s">
        <v>98</v>
      </c>
      <c r="N229" s="16" t="s">
        <v>1532</v>
      </c>
      <c r="O229" s="16"/>
      <c r="P229" s="16" t="s">
        <v>1533</v>
      </c>
      <c r="Q229" s="16" t="s">
        <v>100</v>
      </c>
    </row>
    <row r="230" customFormat="false" ht="15" hidden="false" customHeight="false" outlineLevel="0" collapsed="false">
      <c r="A230" s="16" t="n">
        <v>40195</v>
      </c>
      <c r="B230" s="16" t="s">
        <v>1534</v>
      </c>
      <c r="C230" s="16" t="s">
        <v>1535</v>
      </c>
      <c r="D230" s="16" t="s">
        <v>23</v>
      </c>
      <c r="E230" s="16" t="s">
        <v>94</v>
      </c>
      <c r="F230" s="16" t="s">
        <v>1535</v>
      </c>
      <c r="G230" s="16" t="s">
        <v>495</v>
      </c>
      <c r="H230" s="16" t="s">
        <v>52</v>
      </c>
      <c r="I230" s="16" t="s">
        <v>31</v>
      </c>
      <c r="J230" s="16" t="s">
        <v>1536</v>
      </c>
      <c r="K230" s="16" t="n">
        <v>53.419303894043</v>
      </c>
      <c r="L230" s="16" t="n">
        <v>-2.89773154258728</v>
      </c>
      <c r="M230" s="16" t="s">
        <v>98</v>
      </c>
      <c r="N230" s="16" t="s">
        <v>1537</v>
      </c>
      <c r="O230" s="16"/>
      <c r="P230" s="16" t="s">
        <v>1538</v>
      </c>
      <c r="Q230" s="16" t="s">
        <v>100</v>
      </c>
    </row>
    <row r="231" customFormat="false" ht="15" hidden="false" customHeight="false" outlineLevel="0" collapsed="false">
      <c r="A231" s="16" t="n">
        <v>40199</v>
      </c>
      <c r="B231" s="16" t="s">
        <v>1539</v>
      </c>
      <c r="C231" s="16" t="s">
        <v>1540</v>
      </c>
      <c r="D231" s="16" t="s">
        <v>23</v>
      </c>
      <c r="E231" s="16" t="s">
        <v>94</v>
      </c>
      <c r="F231" s="16" t="s">
        <v>1541</v>
      </c>
      <c r="G231" s="16" t="s">
        <v>1542</v>
      </c>
      <c r="H231" s="16" t="s">
        <v>55</v>
      </c>
      <c r="I231" s="16" t="s">
        <v>31</v>
      </c>
      <c r="J231" s="16" t="s">
        <v>1543</v>
      </c>
      <c r="K231" s="16" t="n">
        <v>53.1176910400391</v>
      </c>
      <c r="L231" s="16" t="n">
        <v>-2.47584843635559</v>
      </c>
      <c r="M231" s="16" t="s">
        <v>98</v>
      </c>
      <c r="N231" s="16" t="s">
        <v>1544</v>
      </c>
      <c r="O231" s="16"/>
      <c r="P231" s="16" t="s">
        <v>1545</v>
      </c>
      <c r="Q231" s="16" t="s">
        <v>100</v>
      </c>
    </row>
    <row r="232" customFormat="false" ht="15" hidden="false" customHeight="false" outlineLevel="0" collapsed="false">
      <c r="A232" s="16" t="n">
        <v>40200</v>
      </c>
      <c r="B232" s="16" t="s">
        <v>1546</v>
      </c>
      <c r="C232" s="16" t="s">
        <v>1547</v>
      </c>
      <c r="D232" s="16" t="s">
        <v>23</v>
      </c>
      <c r="E232" s="16" t="s">
        <v>94</v>
      </c>
      <c r="F232" s="16" t="s">
        <v>1541</v>
      </c>
      <c r="G232" s="16" t="s">
        <v>1548</v>
      </c>
      <c r="H232" s="16" t="s">
        <v>55</v>
      </c>
      <c r="I232" s="16" t="s">
        <v>31</v>
      </c>
      <c r="J232" s="16" t="s">
        <v>1549</v>
      </c>
      <c r="K232" s="16" t="n">
        <v>53.2618942260742</v>
      </c>
      <c r="L232" s="16" t="n">
        <v>-2.51978445053101</v>
      </c>
      <c r="M232" s="16" t="s">
        <v>98</v>
      </c>
      <c r="N232" s="16" t="s">
        <v>1550</v>
      </c>
      <c r="O232" s="16"/>
      <c r="P232" s="16" t="s">
        <v>1551</v>
      </c>
      <c r="Q232" s="16" t="s">
        <v>100</v>
      </c>
    </row>
    <row r="233" customFormat="false" ht="15" hidden="false" customHeight="false" outlineLevel="0" collapsed="false">
      <c r="A233" s="16" t="n">
        <v>40204</v>
      </c>
      <c r="B233" s="16" t="s">
        <v>1552</v>
      </c>
      <c r="C233" s="16" t="s">
        <v>1553</v>
      </c>
      <c r="D233" s="16" t="s">
        <v>23</v>
      </c>
      <c r="E233" s="16" t="s">
        <v>94</v>
      </c>
      <c r="F233" s="16" t="s">
        <v>1554</v>
      </c>
      <c r="G233" s="16" t="s">
        <v>116</v>
      </c>
      <c r="H233" s="16" t="s">
        <v>117</v>
      </c>
      <c r="I233" s="16" t="s">
        <v>31</v>
      </c>
      <c r="J233" s="16" t="s">
        <v>1555</v>
      </c>
      <c r="K233" s="16" t="n">
        <v>53.4297714233398</v>
      </c>
      <c r="L233" s="16" t="n">
        <v>-2.23011016845703</v>
      </c>
      <c r="M233" s="16" t="s">
        <v>98</v>
      </c>
      <c r="N233" s="16" t="s">
        <v>1556</v>
      </c>
      <c r="O233" s="16" t="s">
        <v>1557</v>
      </c>
      <c r="P233" s="16" t="s">
        <v>1558</v>
      </c>
      <c r="Q233" s="16" t="s">
        <v>100</v>
      </c>
    </row>
    <row r="234" customFormat="false" ht="15" hidden="false" customHeight="false" outlineLevel="0" collapsed="false">
      <c r="A234" s="16" t="n">
        <v>40208</v>
      </c>
      <c r="B234" s="16" t="s">
        <v>1559</v>
      </c>
      <c r="C234" s="16" t="s">
        <v>1560</v>
      </c>
      <c r="D234" s="16" t="s">
        <v>23</v>
      </c>
      <c r="E234" s="16" t="s">
        <v>94</v>
      </c>
      <c r="F234" s="16" t="s">
        <v>1561</v>
      </c>
      <c r="G234" s="16" t="s">
        <v>1562</v>
      </c>
      <c r="H234" s="16" t="s">
        <v>48</v>
      </c>
      <c r="I234" s="16" t="s">
        <v>30</v>
      </c>
      <c r="J234" s="16" t="s">
        <v>1563</v>
      </c>
      <c r="K234" s="16" t="n">
        <v>51.0921745300293</v>
      </c>
      <c r="L234" s="16" t="n">
        <v>-4.05041790008545</v>
      </c>
      <c r="M234" s="16" t="s">
        <v>98</v>
      </c>
      <c r="N234" s="16" t="s">
        <v>1564</v>
      </c>
      <c r="O234" s="16" t="s">
        <v>1565</v>
      </c>
      <c r="P234" s="16" t="s">
        <v>1566</v>
      </c>
      <c r="Q234" s="16" t="s">
        <v>100</v>
      </c>
    </row>
    <row r="235" customFormat="false" ht="15" hidden="false" customHeight="false" outlineLevel="0" collapsed="false">
      <c r="A235" s="16" t="n">
        <v>40220</v>
      </c>
      <c r="B235" s="16" t="s">
        <v>1567</v>
      </c>
      <c r="C235" s="16" t="s">
        <v>1568</v>
      </c>
      <c r="D235" s="16" t="s">
        <v>23</v>
      </c>
      <c r="E235" s="16" t="s">
        <v>94</v>
      </c>
      <c r="F235" s="16" t="s">
        <v>1561</v>
      </c>
      <c r="G235" s="16" t="s">
        <v>1569</v>
      </c>
      <c r="H235" s="16" t="s">
        <v>48</v>
      </c>
      <c r="I235" s="16" t="s">
        <v>30</v>
      </c>
      <c r="J235" s="16" t="s">
        <v>1570</v>
      </c>
      <c r="K235" s="16" t="n">
        <v>51.2045211791992</v>
      </c>
      <c r="L235" s="16" t="n">
        <v>-4.12440729141235</v>
      </c>
      <c r="M235" s="16" t="s">
        <v>98</v>
      </c>
      <c r="N235" s="16" t="s">
        <v>1571</v>
      </c>
      <c r="O235" s="16"/>
      <c r="P235" s="16" t="s">
        <v>1572</v>
      </c>
      <c r="Q235" s="16" t="s">
        <v>100</v>
      </c>
    </row>
    <row r="236" customFormat="false" ht="15" hidden="false" customHeight="false" outlineLevel="0" collapsed="false">
      <c r="A236" s="16" t="n">
        <v>40221</v>
      </c>
      <c r="B236" s="16" t="s">
        <v>1573</v>
      </c>
      <c r="C236" s="16" t="s">
        <v>1574</v>
      </c>
      <c r="D236" s="16" t="s">
        <v>23</v>
      </c>
      <c r="E236" s="16" t="s">
        <v>94</v>
      </c>
      <c r="F236" s="16" t="s">
        <v>1561</v>
      </c>
      <c r="G236" s="16" t="s">
        <v>1575</v>
      </c>
      <c r="H236" s="16" t="s">
        <v>48</v>
      </c>
      <c r="I236" s="16" t="s">
        <v>30</v>
      </c>
      <c r="J236" s="16" t="s">
        <v>1576</v>
      </c>
      <c r="K236" s="16" t="n">
        <v>50.8183288574219</v>
      </c>
      <c r="L236" s="16" t="n">
        <v>-4.34964799880982</v>
      </c>
      <c r="M236" s="16" t="s">
        <v>98</v>
      </c>
      <c r="N236" s="16" t="s">
        <v>1577</v>
      </c>
      <c r="O236" s="16"/>
      <c r="P236" s="16" t="s">
        <v>1578</v>
      </c>
      <c r="Q236" s="16" t="s">
        <v>100</v>
      </c>
    </row>
    <row r="237" customFormat="false" ht="15" hidden="false" customHeight="false" outlineLevel="0" collapsed="false">
      <c r="A237" s="16" t="n">
        <v>40223</v>
      </c>
      <c r="B237" s="16" t="s">
        <v>1579</v>
      </c>
      <c r="C237" s="16" t="s">
        <v>1580</v>
      </c>
      <c r="D237" s="16" t="s">
        <v>23</v>
      </c>
      <c r="E237" s="16" t="s">
        <v>94</v>
      </c>
      <c r="F237" s="16" t="s">
        <v>1561</v>
      </c>
      <c r="G237" s="16" t="s">
        <v>1581</v>
      </c>
      <c r="H237" s="16" t="s">
        <v>48</v>
      </c>
      <c r="I237" s="16" t="s">
        <v>30</v>
      </c>
      <c r="J237" s="16" t="s">
        <v>1582</v>
      </c>
      <c r="K237" s="16" t="n">
        <v>51.0178260803223</v>
      </c>
      <c r="L237" s="16" t="n">
        <v>-4.21274518966675</v>
      </c>
      <c r="M237" s="16" t="s">
        <v>98</v>
      </c>
      <c r="N237" s="16" t="s">
        <v>1583</v>
      </c>
      <c r="O237" s="16"/>
      <c r="P237" s="16" t="s">
        <v>1584</v>
      </c>
      <c r="Q237" s="16" t="s">
        <v>100</v>
      </c>
    </row>
    <row r="238" customFormat="false" ht="15" hidden="false" customHeight="false" outlineLevel="0" collapsed="false">
      <c r="A238" s="16" t="n">
        <v>40224</v>
      </c>
      <c r="B238" s="16" t="s">
        <v>1585</v>
      </c>
      <c r="C238" s="16" t="s">
        <v>1586</v>
      </c>
      <c r="D238" s="16" t="s">
        <v>23</v>
      </c>
      <c r="E238" s="16" t="s">
        <v>94</v>
      </c>
      <c r="F238" s="16" t="s">
        <v>1561</v>
      </c>
      <c r="G238" s="16" t="s">
        <v>1587</v>
      </c>
      <c r="H238" s="16" t="s">
        <v>48</v>
      </c>
      <c r="I238" s="16" t="s">
        <v>30</v>
      </c>
      <c r="J238" s="16" t="s">
        <v>1588</v>
      </c>
      <c r="K238" s="16" t="n">
        <v>50.9547348022461</v>
      </c>
      <c r="L238" s="16" t="n">
        <v>-4.13695621490479</v>
      </c>
      <c r="M238" s="16" t="s">
        <v>98</v>
      </c>
      <c r="N238" s="16" t="s">
        <v>1589</v>
      </c>
      <c r="O238" s="16"/>
      <c r="P238" s="16" t="s">
        <v>1590</v>
      </c>
      <c r="Q238" s="16" t="s">
        <v>100</v>
      </c>
    </row>
    <row r="239" customFormat="false" ht="15" hidden="false" customHeight="false" outlineLevel="0" collapsed="false">
      <c r="A239" s="16" t="n">
        <v>40225</v>
      </c>
      <c r="B239" s="16" t="s">
        <v>1591</v>
      </c>
      <c r="C239" s="16" t="s">
        <v>1592</v>
      </c>
      <c r="D239" s="16" t="s">
        <v>23</v>
      </c>
      <c r="E239" s="16" t="s">
        <v>94</v>
      </c>
      <c r="F239" s="16" t="s">
        <v>1561</v>
      </c>
      <c r="G239" s="16" t="s">
        <v>1593</v>
      </c>
      <c r="H239" s="16" t="s">
        <v>48</v>
      </c>
      <c r="I239" s="16" t="s">
        <v>30</v>
      </c>
      <c r="J239" s="16" t="s">
        <v>1594</v>
      </c>
      <c r="K239" s="16" t="n">
        <v>51.0170707702637</v>
      </c>
      <c r="L239" s="16" t="n">
        <v>-3.83922481536865</v>
      </c>
      <c r="M239" s="16" t="s">
        <v>98</v>
      </c>
      <c r="N239" s="16" t="s">
        <v>1595</v>
      </c>
      <c r="O239" s="16"/>
      <c r="P239" s="16" t="s">
        <v>1596</v>
      </c>
      <c r="Q239" s="16" t="s">
        <v>100</v>
      </c>
    </row>
    <row r="240" customFormat="false" ht="15" hidden="false" customHeight="false" outlineLevel="0" collapsed="false">
      <c r="A240" s="16" t="n">
        <v>40227</v>
      </c>
      <c r="B240" s="16" t="s">
        <v>1597</v>
      </c>
      <c r="C240" s="16" t="s">
        <v>1598</v>
      </c>
      <c r="D240" s="16" t="s">
        <v>23</v>
      </c>
      <c r="E240" s="16" t="s">
        <v>94</v>
      </c>
      <c r="F240" s="16" t="s">
        <v>1599</v>
      </c>
      <c r="G240" s="16" t="s">
        <v>151</v>
      </c>
      <c r="H240" s="16" t="s">
        <v>152</v>
      </c>
      <c r="I240" s="16" t="s">
        <v>32</v>
      </c>
      <c r="J240" s="16" t="s">
        <v>1600</v>
      </c>
      <c r="K240" s="16" t="n">
        <v>52.1282653808594</v>
      </c>
      <c r="L240" s="16" t="n">
        <v>-0.47248050570488</v>
      </c>
      <c r="M240" s="16" t="s">
        <v>98</v>
      </c>
      <c r="N240" s="16" t="s">
        <v>1601</v>
      </c>
      <c r="O240" s="16" t="s">
        <v>1602</v>
      </c>
      <c r="P240" s="16" t="s">
        <v>1603</v>
      </c>
      <c r="Q240" s="16" t="s">
        <v>100</v>
      </c>
    </row>
    <row r="241" customFormat="false" ht="15" hidden="false" customHeight="false" outlineLevel="0" collapsed="false">
      <c r="A241" s="16" t="n">
        <v>40228</v>
      </c>
      <c r="B241" s="16" t="s">
        <v>1604</v>
      </c>
      <c r="C241" s="16" t="s">
        <v>1605</v>
      </c>
      <c r="D241" s="16" t="s">
        <v>23</v>
      </c>
      <c r="E241" s="16" t="s">
        <v>94</v>
      </c>
      <c r="F241" s="16" t="s">
        <v>1599</v>
      </c>
      <c r="G241" s="16" t="s">
        <v>151</v>
      </c>
      <c r="H241" s="16" t="s">
        <v>152</v>
      </c>
      <c r="I241" s="16" t="s">
        <v>32</v>
      </c>
      <c r="J241" s="16" t="s">
        <v>1606</v>
      </c>
      <c r="K241" s="16" t="n">
        <v>52.1411895751953</v>
      </c>
      <c r="L241" s="16" t="n">
        <v>-0.461765140295029</v>
      </c>
      <c r="M241" s="16" t="s">
        <v>98</v>
      </c>
      <c r="N241" s="16" t="s">
        <v>1601</v>
      </c>
      <c r="O241" s="16" t="s">
        <v>1602</v>
      </c>
      <c r="P241" s="16" t="s">
        <v>1607</v>
      </c>
      <c r="Q241" s="16" t="s">
        <v>100</v>
      </c>
    </row>
    <row r="242" customFormat="false" ht="15" hidden="false" customHeight="false" outlineLevel="0" collapsed="false">
      <c r="A242" s="16" t="n">
        <v>40233</v>
      </c>
      <c r="B242" s="16" t="s">
        <v>1608</v>
      </c>
      <c r="C242" s="16" t="s">
        <v>1609</v>
      </c>
      <c r="D242" s="16" t="s">
        <v>23</v>
      </c>
      <c r="E242" s="16" t="s">
        <v>94</v>
      </c>
      <c r="F242" s="16" t="s">
        <v>1610</v>
      </c>
      <c r="G242" s="16" t="s">
        <v>1611</v>
      </c>
      <c r="H242" s="16" t="s">
        <v>152</v>
      </c>
      <c r="I242" s="16" t="s">
        <v>32</v>
      </c>
      <c r="J242" s="16" t="s">
        <v>1612</v>
      </c>
      <c r="K242" s="16" t="n">
        <v>51.8941459655762</v>
      </c>
      <c r="L242" s="16" t="n">
        <v>-0.474415451288223</v>
      </c>
      <c r="M242" s="16" t="s">
        <v>98</v>
      </c>
      <c r="N242" s="16" t="s">
        <v>1613</v>
      </c>
      <c r="O242" s="16" t="s">
        <v>1614</v>
      </c>
      <c r="P242" s="16" t="s">
        <v>1615</v>
      </c>
      <c r="Q242" s="16" t="s">
        <v>100</v>
      </c>
    </row>
    <row r="243" customFormat="false" ht="15" hidden="false" customHeight="false" outlineLevel="0" collapsed="false">
      <c r="A243" s="16" t="n">
        <v>40235</v>
      </c>
      <c r="B243" s="16" t="s">
        <v>1616</v>
      </c>
      <c r="C243" s="16" t="s">
        <v>1617</v>
      </c>
      <c r="D243" s="16" t="s">
        <v>23</v>
      </c>
      <c r="E243" s="16" t="s">
        <v>94</v>
      </c>
      <c r="F243" s="16" t="s">
        <v>1618</v>
      </c>
      <c r="G243" s="16" t="s">
        <v>131</v>
      </c>
      <c r="H243" s="16" t="s">
        <v>54</v>
      </c>
      <c r="I243" s="16" t="s">
        <v>35</v>
      </c>
      <c r="J243" s="16" t="s">
        <v>1619</v>
      </c>
      <c r="K243" s="16" t="n">
        <v>54.1184043884277</v>
      </c>
      <c r="L243" s="16" t="n">
        <v>-1.18931269645691</v>
      </c>
      <c r="M243" s="16" t="s">
        <v>98</v>
      </c>
      <c r="N243" s="16" t="s">
        <v>1620</v>
      </c>
      <c r="O243" s="16"/>
      <c r="P243" s="16" t="s">
        <v>1621</v>
      </c>
      <c r="Q243" s="16" t="s">
        <v>100</v>
      </c>
    </row>
    <row r="244" customFormat="false" ht="15" hidden="false" customHeight="false" outlineLevel="0" collapsed="false">
      <c r="A244" s="16" t="n">
        <v>40238</v>
      </c>
      <c r="B244" s="16" t="s">
        <v>1622</v>
      </c>
      <c r="C244" s="16" t="s">
        <v>1623</v>
      </c>
      <c r="D244" s="16" t="s">
        <v>23</v>
      </c>
      <c r="E244" s="16" t="s">
        <v>94</v>
      </c>
      <c r="F244" s="16" t="s">
        <v>1618</v>
      </c>
      <c r="G244" s="16" t="s">
        <v>131</v>
      </c>
      <c r="H244" s="16" t="s">
        <v>54</v>
      </c>
      <c r="I244" s="16" t="s">
        <v>35</v>
      </c>
      <c r="J244" s="16" t="s">
        <v>1624</v>
      </c>
      <c r="K244" s="16" t="n">
        <v>53.9689521789551</v>
      </c>
      <c r="L244" s="16" t="n">
        <v>-1.0842696428299</v>
      </c>
      <c r="M244" s="16" t="s">
        <v>98</v>
      </c>
      <c r="N244" s="16" t="s">
        <v>1625</v>
      </c>
      <c r="O244" s="16"/>
      <c r="P244" s="16" t="s">
        <v>1626</v>
      </c>
      <c r="Q244" s="16" t="s">
        <v>100</v>
      </c>
    </row>
    <row r="245" customFormat="false" ht="15" hidden="false" customHeight="false" outlineLevel="0" collapsed="false">
      <c r="A245" s="16" t="n">
        <v>40242</v>
      </c>
      <c r="B245" s="16" t="s">
        <v>1627</v>
      </c>
      <c r="C245" s="16" t="s">
        <v>1628</v>
      </c>
      <c r="D245" s="16" t="s">
        <v>23</v>
      </c>
      <c r="E245" s="16" t="s">
        <v>94</v>
      </c>
      <c r="F245" s="16" t="s">
        <v>1618</v>
      </c>
      <c r="G245" s="16" t="s">
        <v>1629</v>
      </c>
      <c r="H245" s="16" t="s">
        <v>54</v>
      </c>
      <c r="I245" s="16" t="s">
        <v>35</v>
      </c>
      <c r="J245" s="16" t="s">
        <v>1630</v>
      </c>
      <c r="K245" s="16" t="n">
        <v>54.1372451782227</v>
      </c>
      <c r="L245" s="16" t="n">
        <v>-0.806531846523285</v>
      </c>
      <c r="M245" s="16" t="s">
        <v>98</v>
      </c>
      <c r="N245" s="16" t="s">
        <v>1631</v>
      </c>
      <c r="O245" s="16"/>
      <c r="P245" s="16" t="s">
        <v>1626</v>
      </c>
      <c r="Q245" s="16" t="s">
        <v>100</v>
      </c>
    </row>
    <row r="246" customFormat="false" ht="15" hidden="false" customHeight="false" outlineLevel="0" collapsed="false">
      <c r="A246" s="16" t="n">
        <v>40245</v>
      </c>
      <c r="B246" s="16" t="s">
        <v>1632</v>
      </c>
      <c r="C246" s="16" t="s">
        <v>1633</v>
      </c>
      <c r="D246" s="16" t="s">
        <v>23</v>
      </c>
      <c r="E246" s="16" t="s">
        <v>94</v>
      </c>
      <c r="F246" s="16" t="s">
        <v>1618</v>
      </c>
      <c r="G246" s="16" t="s">
        <v>131</v>
      </c>
      <c r="H246" s="16" t="s">
        <v>54</v>
      </c>
      <c r="I246" s="16" t="s">
        <v>35</v>
      </c>
      <c r="J246" s="16" t="s">
        <v>1634</v>
      </c>
      <c r="K246" s="16" t="n">
        <v>53.9716529846191</v>
      </c>
      <c r="L246" s="16" t="n">
        <v>-1.07646584510803</v>
      </c>
      <c r="M246" s="16" t="s">
        <v>98</v>
      </c>
      <c r="N246" s="16" t="s">
        <v>1635</v>
      </c>
      <c r="O246" s="16"/>
      <c r="P246" s="16" t="s">
        <v>1626</v>
      </c>
      <c r="Q246" s="16" t="s">
        <v>100</v>
      </c>
    </row>
    <row r="247" customFormat="false" ht="15" hidden="false" customHeight="false" outlineLevel="0" collapsed="false">
      <c r="A247" s="16" t="n">
        <v>40248</v>
      </c>
      <c r="B247" s="16" t="s">
        <v>1636</v>
      </c>
      <c r="C247" s="16" t="s">
        <v>1637</v>
      </c>
      <c r="D247" s="16" t="s">
        <v>23</v>
      </c>
      <c r="E247" s="16" t="s">
        <v>94</v>
      </c>
      <c r="F247" s="16" t="s">
        <v>1618</v>
      </c>
      <c r="G247" s="16" t="s">
        <v>131</v>
      </c>
      <c r="H247" s="16" t="s">
        <v>54</v>
      </c>
      <c r="I247" s="16" t="s">
        <v>35</v>
      </c>
      <c r="J247" s="16" t="s">
        <v>1638</v>
      </c>
      <c r="K247" s="16" t="n">
        <v>53.9436416625977</v>
      </c>
      <c r="L247" s="16" t="n">
        <v>-1.10645806789398</v>
      </c>
      <c r="M247" s="16" t="s">
        <v>98</v>
      </c>
      <c r="N247" s="16" t="s">
        <v>1639</v>
      </c>
      <c r="O247" s="16"/>
      <c r="P247" s="16"/>
      <c r="Q247" s="16" t="s">
        <v>100</v>
      </c>
    </row>
    <row r="248" customFormat="false" ht="15" hidden="false" customHeight="false" outlineLevel="0" collapsed="false">
      <c r="A248" s="16" t="n">
        <v>40261</v>
      </c>
      <c r="B248" s="16" t="s">
        <v>1640</v>
      </c>
      <c r="C248" s="16" t="s">
        <v>1641</v>
      </c>
      <c r="D248" s="16" t="s">
        <v>23</v>
      </c>
      <c r="E248" s="16" t="s">
        <v>94</v>
      </c>
      <c r="F248" s="16" t="s">
        <v>1642</v>
      </c>
      <c r="G248" s="16" t="s">
        <v>795</v>
      </c>
      <c r="H248" s="16" t="s">
        <v>54</v>
      </c>
      <c r="I248" s="16" t="s">
        <v>35</v>
      </c>
      <c r="J248" s="16" t="s">
        <v>1643</v>
      </c>
      <c r="K248" s="16" t="n">
        <v>53.9938087463379</v>
      </c>
      <c r="L248" s="16" t="n">
        <v>-1.51755833625794</v>
      </c>
      <c r="M248" s="16" t="s">
        <v>98</v>
      </c>
      <c r="N248" s="16" t="s">
        <v>1644</v>
      </c>
      <c r="O248" s="16" t="s">
        <v>1645</v>
      </c>
      <c r="P248" s="16" t="s">
        <v>1646</v>
      </c>
      <c r="Q248" s="16" t="s">
        <v>100</v>
      </c>
    </row>
    <row r="249" customFormat="false" ht="15" hidden="false" customHeight="false" outlineLevel="0" collapsed="false">
      <c r="A249" s="16" t="n">
        <v>40262</v>
      </c>
      <c r="B249" s="16" t="s">
        <v>1647</v>
      </c>
      <c r="C249" s="16" t="s">
        <v>1648</v>
      </c>
      <c r="D249" s="16" t="s">
        <v>23</v>
      </c>
      <c r="E249" s="16" t="s">
        <v>94</v>
      </c>
      <c r="F249" s="16" t="s">
        <v>1642</v>
      </c>
      <c r="G249" s="16" t="s">
        <v>1649</v>
      </c>
      <c r="H249" s="16" t="s">
        <v>54</v>
      </c>
      <c r="I249" s="16" t="s">
        <v>35</v>
      </c>
      <c r="J249" s="16" t="s">
        <v>1650</v>
      </c>
      <c r="K249" s="16" t="n">
        <v>54.1354370117188</v>
      </c>
      <c r="L249" s="16" t="n">
        <v>-1.527179479599</v>
      </c>
      <c r="M249" s="16" t="s">
        <v>98</v>
      </c>
      <c r="N249" s="16" t="s">
        <v>1651</v>
      </c>
      <c r="O249" s="16" t="s">
        <v>1645</v>
      </c>
      <c r="P249" s="16" t="s">
        <v>1646</v>
      </c>
      <c r="Q249" s="16" t="s">
        <v>100</v>
      </c>
    </row>
    <row r="250" customFormat="false" ht="15" hidden="false" customHeight="false" outlineLevel="0" collapsed="false">
      <c r="A250" s="16" t="n">
        <v>40267</v>
      </c>
      <c r="B250" s="16" t="s">
        <v>1652</v>
      </c>
      <c r="C250" s="16" t="s">
        <v>1653</v>
      </c>
      <c r="D250" s="16" t="s">
        <v>23</v>
      </c>
      <c r="E250" s="16" t="s">
        <v>94</v>
      </c>
      <c r="F250" s="16" t="s">
        <v>1642</v>
      </c>
      <c r="G250" s="16" t="s">
        <v>1654</v>
      </c>
      <c r="H250" s="16" t="s">
        <v>54</v>
      </c>
      <c r="I250" s="16" t="s">
        <v>35</v>
      </c>
      <c r="J250" s="16" t="s">
        <v>1655</v>
      </c>
      <c r="K250" s="16" t="n">
        <v>53.7774887084961</v>
      </c>
      <c r="L250" s="16" t="n">
        <v>-1.078320145607</v>
      </c>
      <c r="M250" s="16" t="s">
        <v>98</v>
      </c>
      <c r="N250" s="16" t="s">
        <v>1656</v>
      </c>
      <c r="O250" s="16"/>
      <c r="P250" s="16" t="s">
        <v>1646</v>
      </c>
      <c r="Q250" s="16" t="s">
        <v>100</v>
      </c>
    </row>
    <row r="251" customFormat="false" ht="15" hidden="false" customHeight="false" outlineLevel="0" collapsed="false">
      <c r="A251" s="16" t="n">
        <v>40270</v>
      </c>
      <c r="B251" s="16" t="s">
        <v>1657</v>
      </c>
      <c r="C251" s="16" t="s">
        <v>1658</v>
      </c>
      <c r="D251" s="16" t="s">
        <v>23</v>
      </c>
      <c r="E251" s="16" t="s">
        <v>94</v>
      </c>
      <c r="F251" s="16" t="s">
        <v>1659</v>
      </c>
      <c r="G251" s="16" t="s">
        <v>1660</v>
      </c>
      <c r="H251" s="16" t="s">
        <v>50</v>
      </c>
      <c r="I251" s="16" t="s">
        <v>35</v>
      </c>
      <c r="J251" s="16" t="s">
        <v>1661</v>
      </c>
      <c r="K251" s="16" t="n">
        <v>53.8980178833008</v>
      </c>
      <c r="L251" s="16" t="n">
        <v>-1.9626796245575</v>
      </c>
      <c r="M251" s="16" t="s">
        <v>98</v>
      </c>
      <c r="N251" s="16" t="s">
        <v>1662</v>
      </c>
      <c r="O251" s="16"/>
      <c r="P251" s="16" t="s">
        <v>1663</v>
      </c>
      <c r="Q251" s="16" t="s">
        <v>100</v>
      </c>
    </row>
    <row r="252" customFormat="false" ht="15" hidden="false" customHeight="false" outlineLevel="0" collapsed="false">
      <c r="A252" s="16" t="n">
        <v>40274</v>
      </c>
      <c r="B252" s="16" t="s">
        <v>1664</v>
      </c>
      <c r="C252" s="16" t="s">
        <v>1665</v>
      </c>
      <c r="D252" s="16" t="s">
        <v>23</v>
      </c>
      <c r="E252" s="16" t="s">
        <v>94</v>
      </c>
      <c r="F252" s="16" t="s">
        <v>1659</v>
      </c>
      <c r="G252" s="16" t="s">
        <v>1666</v>
      </c>
      <c r="H252" s="16" t="s">
        <v>54</v>
      </c>
      <c r="I252" s="16" t="s">
        <v>35</v>
      </c>
      <c r="J252" s="16" t="s">
        <v>1667</v>
      </c>
      <c r="K252" s="16" t="n">
        <v>54.0695495605469</v>
      </c>
      <c r="L252" s="16" t="n">
        <v>-2.29219269752502</v>
      </c>
      <c r="M252" s="16" t="s">
        <v>98</v>
      </c>
      <c r="N252" s="16" t="s">
        <v>1668</v>
      </c>
      <c r="O252" s="16" t="s">
        <v>1669</v>
      </c>
      <c r="P252" s="16" t="s">
        <v>1663</v>
      </c>
      <c r="Q252" s="16" t="s">
        <v>100</v>
      </c>
    </row>
    <row r="253" customFormat="false" ht="15" hidden="false" customHeight="false" outlineLevel="0" collapsed="false">
      <c r="A253" s="16" t="n">
        <v>40275</v>
      </c>
      <c r="B253" s="16" t="s">
        <v>1670</v>
      </c>
      <c r="C253" s="16" t="s">
        <v>1671</v>
      </c>
      <c r="D253" s="16" t="s">
        <v>23</v>
      </c>
      <c r="E253" s="16" t="s">
        <v>94</v>
      </c>
      <c r="F253" s="16" t="s">
        <v>1659</v>
      </c>
      <c r="G253" s="16" t="s">
        <v>1672</v>
      </c>
      <c r="H253" s="16" t="s">
        <v>54</v>
      </c>
      <c r="I253" s="16" t="s">
        <v>35</v>
      </c>
      <c r="J253" s="16" t="s">
        <v>1673</v>
      </c>
      <c r="K253" s="16" t="n">
        <v>53.955696105957</v>
      </c>
      <c r="L253" s="16" t="n">
        <v>-2.01899766921997</v>
      </c>
      <c r="M253" s="16" t="s">
        <v>98</v>
      </c>
      <c r="N253" s="16" t="s">
        <v>1674</v>
      </c>
      <c r="O253" s="16" t="s">
        <v>1669</v>
      </c>
      <c r="P253" s="16" t="s">
        <v>1663</v>
      </c>
      <c r="Q253" s="16" t="s">
        <v>100</v>
      </c>
    </row>
    <row r="254" customFormat="false" ht="15" hidden="false" customHeight="false" outlineLevel="0" collapsed="false">
      <c r="A254" s="16" t="n">
        <v>40282</v>
      </c>
      <c r="B254" s="16" t="s">
        <v>1675</v>
      </c>
      <c r="C254" s="16" t="s">
        <v>1676</v>
      </c>
      <c r="D254" s="16" t="s">
        <v>23</v>
      </c>
      <c r="E254" s="16" t="s">
        <v>94</v>
      </c>
      <c r="F254" s="16" t="s">
        <v>1677</v>
      </c>
      <c r="G254" s="16" t="s">
        <v>761</v>
      </c>
      <c r="H254" s="16" t="s">
        <v>762</v>
      </c>
      <c r="I254" s="16" t="s">
        <v>35</v>
      </c>
      <c r="J254" s="16" t="s">
        <v>1678</v>
      </c>
      <c r="K254" s="16" t="n">
        <v>53.3806037902832</v>
      </c>
      <c r="L254" s="16" t="n">
        <v>-1.49061381816864</v>
      </c>
      <c r="M254" s="16" t="s">
        <v>100</v>
      </c>
      <c r="N254" s="16" t="s">
        <v>1679</v>
      </c>
      <c r="O254" s="16" t="s">
        <v>1680</v>
      </c>
      <c r="P254" s="16" t="s">
        <v>1681</v>
      </c>
      <c r="Q254" s="16" t="s">
        <v>100</v>
      </c>
    </row>
    <row r="255" customFormat="false" ht="15" hidden="false" customHeight="false" outlineLevel="0" collapsed="false">
      <c r="A255" s="16" t="n">
        <v>40289</v>
      </c>
      <c r="B255" s="16" t="s">
        <v>1682</v>
      </c>
      <c r="C255" s="16" t="s">
        <v>1683</v>
      </c>
      <c r="D255" s="16" t="s">
        <v>23</v>
      </c>
      <c r="E255" s="16" t="s">
        <v>94</v>
      </c>
      <c r="F255" s="16" t="s">
        <v>1684</v>
      </c>
      <c r="G255" s="16" t="s">
        <v>1685</v>
      </c>
      <c r="H255" s="16" t="s">
        <v>429</v>
      </c>
      <c r="I255" s="16" t="s">
        <v>32</v>
      </c>
      <c r="J255" s="16" t="s">
        <v>1686</v>
      </c>
      <c r="K255" s="16" t="n">
        <v>52.7566070556641</v>
      </c>
      <c r="L255" s="16" t="n">
        <v>0.446693152189255</v>
      </c>
      <c r="M255" s="16" t="s">
        <v>98</v>
      </c>
      <c r="N255" s="16" t="s">
        <v>1687</v>
      </c>
      <c r="O255" s="16"/>
      <c r="P255" s="16" t="s">
        <v>1688</v>
      </c>
      <c r="Q255" s="16" t="s">
        <v>100</v>
      </c>
    </row>
    <row r="256" customFormat="false" ht="15" hidden="false" customHeight="false" outlineLevel="0" collapsed="false">
      <c r="A256" s="16" t="n">
        <v>40303</v>
      </c>
      <c r="B256" s="16" t="s">
        <v>1689</v>
      </c>
      <c r="C256" s="16" t="s">
        <v>1690</v>
      </c>
      <c r="D256" s="16" t="s">
        <v>23</v>
      </c>
      <c r="E256" s="16" t="s">
        <v>94</v>
      </c>
      <c r="F256" s="16" t="s">
        <v>1691</v>
      </c>
      <c r="G256" s="16" t="s">
        <v>192</v>
      </c>
      <c r="H256" s="16" t="s">
        <v>56</v>
      </c>
      <c r="I256" s="16" t="s">
        <v>30</v>
      </c>
      <c r="J256" s="16" t="s">
        <v>1692</v>
      </c>
      <c r="K256" s="16" t="n">
        <v>51.2986793518066</v>
      </c>
      <c r="L256" s="16" t="n">
        <v>-2.49328136444092</v>
      </c>
      <c r="M256" s="16" t="s">
        <v>98</v>
      </c>
      <c r="N256" s="16" t="s">
        <v>1693</v>
      </c>
      <c r="O256" s="16"/>
      <c r="P256" s="16"/>
      <c r="Q256" s="16" t="s">
        <v>100</v>
      </c>
    </row>
    <row r="257" customFormat="false" ht="15" hidden="false" customHeight="false" outlineLevel="0" collapsed="false">
      <c r="A257" s="16" t="n">
        <v>40304</v>
      </c>
      <c r="B257" s="16" t="s">
        <v>1694</v>
      </c>
      <c r="C257" s="16" t="s">
        <v>1695</v>
      </c>
      <c r="D257" s="16" t="s">
        <v>23</v>
      </c>
      <c r="E257" s="16" t="s">
        <v>94</v>
      </c>
      <c r="F257" s="16" t="s">
        <v>1691</v>
      </c>
      <c r="G257" s="16" t="s">
        <v>573</v>
      </c>
      <c r="H257" s="16" t="s">
        <v>56</v>
      </c>
      <c r="I257" s="16" t="s">
        <v>30</v>
      </c>
      <c r="J257" s="16" t="s">
        <v>1696</v>
      </c>
      <c r="K257" s="16" t="n">
        <v>51.3916702270508</v>
      </c>
      <c r="L257" s="16" t="n">
        <v>-2.39120388031006</v>
      </c>
      <c r="M257" s="16" t="s">
        <v>98</v>
      </c>
      <c r="N257" s="16" t="s">
        <v>1697</v>
      </c>
      <c r="O257" s="16" t="s">
        <v>1698</v>
      </c>
      <c r="P257" s="16" t="s">
        <v>1699</v>
      </c>
      <c r="Q257" s="16" t="s">
        <v>100</v>
      </c>
    </row>
    <row r="258" customFormat="false" ht="15" hidden="false" customHeight="false" outlineLevel="0" collapsed="false">
      <c r="A258" s="16" t="n">
        <v>40308</v>
      </c>
      <c r="B258" s="16" t="s">
        <v>1700</v>
      </c>
      <c r="C258" s="16" t="s">
        <v>1701</v>
      </c>
      <c r="D258" s="16" t="s">
        <v>23</v>
      </c>
      <c r="E258" s="16" t="s">
        <v>94</v>
      </c>
      <c r="F258" s="16" t="s">
        <v>1702</v>
      </c>
      <c r="G258" s="16" t="s">
        <v>653</v>
      </c>
      <c r="H258" s="16" t="s">
        <v>53</v>
      </c>
      <c r="I258" s="16" t="s">
        <v>30</v>
      </c>
      <c r="J258" s="16" t="s">
        <v>1703</v>
      </c>
      <c r="K258" s="16" t="n">
        <v>50.7219924926758</v>
      </c>
      <c r="L258" s="16" t="n">
        <v>-1.97310292720795</v>
      </c>
      <c r="M258" s="16" t="s">
        <v>98</v>
      </c>
      <c r="N258" s="16" t="s">
        <v>1704</v>
      </c>
      <c r="O258" s="16"/>
      <c r="P258" s="16" t="s">
        <v>1705</v>
      </c>
      <c r="Q258" s="16" t="s">
        <v>100</v>
      </c>
    </row>
    <row r="259" customFormat="false" ht="15" hidden="false" customHeight="false" outlineLevel="0" collapsed="false">
      <c r="A259" s="16" t="n">
        <v>40330</v>
      </c>
      <c r="B259" s="16" t="s">
        <v>1706</v>
      </c>
      <c r="C259" s="16" t="s">
        <v>1707</v>
      </c>
      <c r="D259" s="16" t="s">
        <v>23</v>
      </c>
      <c r="E259" s="16" t="s">
        <v>94</v>
      </c>
      <c r="F259" s="16" t="s">
        <v>1708</v>
      </c>
      <c r="G259" s="16" t="s">
        <v>735</v>
      </c>
      <c r="H259" s="16" t="s">
        <v>620</v>
      </c>
      <c r="I259" s="16" t="s">
        <v>29</v>
      </c>
      <c r="J259" s="16" t="s">
        <v>1709</v>
      </c>
      <c r="K259" s="16" t="n">
        <v>52.0263748168945</v>
      </c>
      <c r="L259" s="16" t="n">
        <v>-0.735766530036926</v>
      </c>
      <c r="M259" s="16" t="s">
        <v>98</v>
      </c>
      <c r="N259" s="16" t="s">
        <v>1710</v>
      </c>
      <c r="O259" s="16"/>
      <c r="P259" s="16" t="s">
        <v>1711</v>
      </c>
      <c r="Q259" s="16" t="s">
        <v>100</v>
      </c>
    </row>
    <row r="260" customFormat="false" ht="15" hidden="false" customHeight="false" outlineLevel="0" collapsed="false">
      <c r="A260" s="16" t="n">
        <v>40342</v>
      </c>
      <c r="B260" s="16" t="s">
        <v>1712</v>
      </c>
      <c r="C260" s="16" t="s">
        <v>1713</v>
      </c>
      <c r="D260" s="16" t="s">
        <v>23</v>
      </c>
      <c r="E260" s="16" t="s">
        <v>94</v>
      </c>
      <c r="F260" s="16" t="s">
        <v>1714</v>
      </c>
      <c r="G260" s="16" t="s">
        <v>1088</v>
      </c>
      <c r="H260" s="16" t="s">
        <v>49</v>
      </c>
      <c r="I260" s="16" t="s">
        <v>32</v>
      </c>
      <c r="J260" s="16" t="s">
        <v>1715</v>
      </c>
      <c r="K260" s="16" t="n">
        <v>51.9101638793945</v>
      </c>
      <c r="L260" s="16" t="n">
        <v>0.899196803569794</v>
      </c>
      <c r="M260" s="16" t="s">
        <v>98</v>
      </c>
      <c r="N260" s="16" t="s">
        <v>1716</v>
      </c>
      <c r="O260" s="16" t="s">
        <v>1717</v>
      </c>
      <c r="P260" s="16" t="s">
        <v>1718</v>
      </c>
      <c r="Q260" s="16" t="s">
        <v>100</v>
      </c>
    </row>
    <row r="261" customFormat="false" ht="15" hidden="false" customHeight="false" outlineLevel="0" collapsed="false">
      <c r="A261" s="16" t="n">
        <v>40343</v>
      </c>
      <c r="B261" s="16" t="s">
        <v>1719</v>
      </c>
      <c r="C261" s="16" t="s">
        <v>1720</v>
      </c>
      <c r="D261" s="16" t="s">
        <v>23</v>
      </c>
      <c r="E261" s="16" t="s">
        <v>94</v>
      </c>
      <c r="F261" s="16" t="s">
        <v>1714</v>
      </c>
      <c r="G261" s="16" t="s">
        <v>1088</v>
      </c>
      <c r="H261" s="16" t="s">
        <v>49</v>
      </c>
      <c r="I261" s="16" t="s">
        <v>32</v>
      </c>
      <c r="J261" s="16" t="s">
        <v>1721</v>
      </c>
      <c r="K261" s="16" t="n">
        <v>51.8870697021484</v>
      </c>
      <c r="L261" s="16" t="n">
        <v>0.889149308204651</v>
      </c>
      <c r="M261" s="16" t="s">
        <v>98</v>
      </c>
      <c r="N261" s="16" t="s">
        <v>1716</v>
      </c>
      <c r="O261" s="16" t="s">
        <v>1722</v>
      </c>
      <c r="P261" s="16" t="s">
        <v>1723</v>
      </c>
      <c r="Q261" s="16" t="s">
        <v>100</v>
      </c>
    </row>
    <row r="262" customFormat="false" ht="15" hidden="false" customHeight="false" outlineLevel="0" collapsed="false">
      <c r="A262" s="16" t="n">
        <v>40344</v>
      </c>
      <c r="B262" s="16" t="s">
        <v>1724</v>
      </c>
      <c r="C262" s="16" t="s">
        <v>1725</v>
      </c>
      <c r="D262" s="16" t="s">
        <v>23</v>
      </c>
      <c r="E262" s="16" t="s">
        <v>94</v>
      </c>
      <c r="F262" s="16" t="s">
        <v>1714</v>
      </c>
      <c r="G262" s="16" t="s">
        <v>1726</v>
      </c>
      <c r="H262" s="16" t="s">
        <v>49</v>
      </c>
      <c r="I262" s="16" t="s">
        <v>32</v>
      </c>
      <c r="J262" s="16" t="s">
        <v>1727</v>
      </c>
      <c r="K262" s="16" t="n">
        <v>51.9480934143066</v>
      </c>
      <c r="L262" s="16" t="n">
        <v>0.63796603679657</v>
      </c>
      <c r="M262" s="16" t="s">
        <v>98</v>
      </c>
      <c r="N262" s="16" t="s">
        <v>1728</v>
      </c>
      <c r="O262" s="16"/>
      <c r="P262" s="16" t="s">
        <v>1729</v>
      </c>
      <c r="Q262" s="16" t="s">
        <v>100</v>
      </c>
    </row>
    <row r="263" customFormat="false" ht="15" hidden="false" customHeight="false" outlineLevel="0" collapsed="false">
      <c r="A263" s="16" t="n">
        <v>40354</v>
      </c>
      <c r="B263" s="16" t="s">
        <v>1730</v>
      </c>
      <c r="C263" s="16" t="s">
        <v>1731</v>
      </c>
      <c r="D263" s="16" t="s">
        <v>23</v>
      </c>
      <c r="E263" s="16" t="s">
        <v>94</v>
      </c>
      <c r="F263" s="16" t="s">
        <v>1732</v>
      </c>
      <c r="G263" s="16" t="s">
        <v>1733</v>
      </c>
      <c r="H263" s="16" t="s">
        <v>214</v>
      </c>
      <c r="I263" s="16" t="s">
        <v>29</v>
      </c>
      <c r="J263" s="16" t="s">
        <v>1734</v>
      </c>
      <c r="K263" s="16" t="n">
        <v>50.7933654785156</v>
      </c>
      <c r="L263" s="16" t="n">
        <v>-0.675404250621796</v>
      </c>
      <c r="M263" s="16" t="s">
        <v>98</v>
      </c>
      <c r="N263" s="16" t="s">
        <v>1735</v>
      </c>
      <c r="O263" s="16"/>
      <c r="P263" s="16" t="s">
        <v>1736</v>
      </c>
      <c r="Q263" s="16" t="s">
        <v>100</v>
      </c>
    </row>
    <row r="264" customFormat="false" ht="15" hidden="false" customHeight="false" outlineLevel="0" collapsed="false">
      <c r="A264" s="16" t="n">
        <v>40395</v>
      </c>
      <c r="B264" s="16" t="s">
        <v>1737</v>
      </c>
      <c r="C264" s="16" t="s">
        <v>1738</v>
      </c>
      <c r="D264" s="16" t="s">
        <v>23</v>
      </c>
      <c r="E264" s="16" t="s">
        <v>94</v>
      </c>
      <c r="F264" s="16" t="s">
        <v>1739</v>
      </c>
      <c r="G264" s="16" t="s">
        <v>1740</v>
      </c>
      <c r="H264" s="16" t="s">
        <v>46</v>
      </c>
      <c r="I264" s="16" t="s">
        <v>29</v>
      </c>
      <c r="J264" s="16" t="s">
        <v>1741</v>
      </c>
      <c r="K264" s="16" t="n">
        <v>51.3196678161621</v>
      </c>
      <c r="L264" s="16" t="n">
        <v>-0.742014408111572</v>
      </c>
      <c r="M264" s="16" t="s">
        <v>98</v>
      </c>
      <c r="N264" s="16" t="s">
        <v>1742</v>
      </c>
      <c r="O264" s="16"/>
      <c r="P264" s="16" t="s">
        <v>1743</v>
      </c>
      <c r="Q264" s="16" t="s">
        <v>100</v>
      </c>
    </row>
    <row r="265" customFormat="false" ht="15" hidden="false" customHeight="false" outlineLevel="0" collapsed="false">
      <c r="A265" s="16" t="n">
        <v>40411</v>
      </c>
      <c r="B265" s="16" t="s">
        <v>1744</v>
      </c>
      <c r="C265" s="16" t="s">
        <v>1745</v>
      </c>
      <c r="D265" s="16" t="s">
        <v>23</v>
      </c>
      <c r="E265" s="16" t="s">
        <v>94</v>
      </c>
      <c r="F265" s="16" t="s">
        <v>66</v>
      </c>
      <c r="G265" s="16" t="s">
        <v>653</v>
      </c>
      <c r="H265" s="16" t="s">
        <v>53</v>
      </c>
      <c r="I265" s="16" t="s">
        <v>30</v>
      </c>
      <c r="J265" s="16" t="s">
        <v>1746</v>
      </c>
      <c r="K265" s="16" t="n">
        <v>50.6991653442383</v>
      </c>
      <c r="L265" s="16" t="n">
        <v>-1.92810308933258</v>
      </c>
      <c r="M265" s="16" t="s">
        <v>98</v>
      </c>
      <c r="N265" s="16" t="s">
        <v>1747</v>
      </c>
      <c r="O265" s="16"/>
      <c r="P265" s="16" t="s">
        <v>1748</v>
      </c>
      <c r="Q265" s="16" t="s">
        <v>100</v>
      </c>
    </row>
    <row r="266" customFormat="false" ht="15" hidden="false" customHeight="false" outlineLevel="0" collapsed="false">
      <c r="A266" s="16" t="n">
        <v>40413</v>
      </c>
      <c r="B266" s="16" t="s">
        <v>1749</v>
      </c>
      <c r="C266" s="16" t="s">
        <v>1750</v>
      </c>
      <c r="D266" s="16" t="s">
        <v>23</v>
      </c>
      <c r="E266" s="16" t="s">
        <v>94</v>
      </c>
      <c r="F266" s="16" t="s">
        <v>66</v>
      </c>
      <c r="G266" s="16" t="s">
        <v>174</v>
      </c>
      <c r="H266" s="16" t="s">
        <v>53</v>
      </c>
      <c r="I266" s="16" t="s">
        <v>30</v>
      </c>
      <c r="J266" s="16" t="s">
        <v>1751</v>
      </c>
      <c r="K266" s="16" t="n">
        <v>50.7167282104492</v>
      </c>
      <c r="L266" s="16" t="n">
        <v>-1.90440714359283</v>
      </c>
      <c r="M266" s="16" t="s">
        <v>98</v>
      </c>
      <c r="N266" s="16" t="s">
        <v>1752</v>
      </c>
      <c r="O266" s="16"/>
      <c r="P266" s="16" t="s">
        <v>1748</v>
      </c>
      <c r="Q266" s="16" t="s">
        <v>100</v>
      </c>
    </row>
    <row r="267" customFormat="false" ht="15" hidden="false" customHeight="false" outlineLevel="0" collapsed="false">
      <c r="A267" s="16" t="n">
        <v>40415</v>
      </c>
      <c r="B267" s="16" t="s">
        <v>1753</v>
      </c>
      <c r="C267" s="16" t="s">
        <v>1754</v>
      </c>
      <c r="D267" s="16" t="s">
        <v>23</v>
      </c>
      <c r="E267" s="16" t="s">
        <v>94</v>
      </c>
      <c r="F267" s="16" t="s">
        <v>66</v>
      </c>
      <c r="G267" s="16" t="s">
        <v>653</v>
      </c>
      <c r="H267" s="16" t="s">
        <v>53</v>
      </c>
      <c r="I267" s="16" t="s">
        <v>30</v>
      </c>
      <c r="J267" s="16" t="s">
        <v>1755</v>
      </c>
      <c r="K267" s="16" t="n">
        <v>50.7497138977051</v>
      </c>
      <c r="L267" s="16" t="n">
        <v>-1.94096744060516</v>
      </c>
      <c r="M267" s="16" t="s">
        <v>98</v>
      </c>
      <c r="N267" s="16" t="s">
        <v>1756</v>
      </c>
      <c r="O267" s="16"/>
      <c r="P267" s="16" t="s">
        <v>1748</v>
      </c>
      <c r="Q267" s="16" t="s">
        <v>100</v>
      </c>
    </row>
    <row r="268" customFormat="false" ht="15" hidden="false" customHeight="false" outlineLevel="0" collapsed="false">
      <c r="A268" s="16" t="n">
        <v>40421</v>
      </c>
      <c r="B268" s="16" t="s">
        <v>1757</v>
      </c>
      <c r="C268" s="16" t="s">
        <v>1758</v>
      </c>
      <c r="D268" s="16" t="s">
        <v>23</v>
      </c>
      <c r="E268" s="16" t="s">
        <v>94</v>
      </c>
      <c r="F268" s="16" t="s">
        <v>66</v>
      </c>
      <c r="G268" s="16" t="s">
        <v>653</v>
      </c>
      <c r="H268" s="16" t="s">
        <v>53</v>
      </c>
      <c r="I268" s="16" t="s">
        <v>30</v>
      </c>
      <c r="J268" s="16" t="s">
        <v>1746</v>
      </c>
      <c r="K268" s="16" t="n">
        <v>50.6991653442383</v>
      </c>
      <c r="L268" s="16" t="n">
        <v>-1.92810308933258</v>
      </c>
      <c r="M268" s="16" t="s">
        <v>98</v>
      </c>
      <c r="N268" s="16" t="s">
        <v>1759</v>
      </c>
      <c r="O268" s="16"/>
      <c r="P268" s="16" t="s">
        <v>1748</v>
      </c>
      <c r="Q268" s="16" t="s">
        <v>100</v>
      </c>
    </row>
    <row r="269" customFormat="false" ht="15" hidden="false" customHeight="false" outlineLevel="0" collapsed="false">
      <c r="A269" s="16" t="n">
        <v>40423</v>
      </c>
      <c r="B269" s="16" t="s">
        <v>1760</v>
      </c>
      <c r="C269" s="16" t="s">
        <v>1761</v>
      </c>
      <c r="D269" s="16" t="s">
        <v>23</v>
      </c>
      <c r="E269" s="16" t="s">
        <v>94</v>
      </c>
      <c r="F269" s="16" t="s">
        <v>66</v>
      </c>
      <c r="G269" s="16" t="s">
        <v>1762</v>
      </c>
      <c r="H269" s="16" t="s">
        <v>53</v>
      </c>
      <c r="I269" s="16" t="s">
        <v>30</v>
      </c>
      <c r="J269" s="16" t="s">
        <v>1763</v>
      </c>
      <c r="K269" s="16" t="n">
        <v>50.7431945800781</v>
      </c>
      <c r="L269" s="16" t="n">
        <v>-1.79200649261475</v>
      </c>
      <c r="M269" s="16" t="s">
        <v>98</v>
      </c>
      <c r="N269" s="16" t="s">
        <v>1764</v>
      </c>
      <c r="O269" s="16"/>
      <c r="P269" s="16" t="s">
        <v>1748</v>
      </c>
      <c r="Q269" s="16" t="s">
        <v>100</v>
      </c>
    </row>
    <row r="270" customFormat="false" ht="15" hidden="false" customHeight="false" outlineLevel="0" collapsed="false">
      <c r="A270" s="16" t="n">
        <v>40425</v>
      </c>
      <c r="B270" s="16" t="s">
        <v>1765</v>
      </c>
      <c r="C270" s="16" t="s">
        <v>1766</v>
      </c>
      <c r="D270" s="16" t="s">
        <v>23</v>
      </c>
      <c r="E270" s="16" t="s">
        <v>94</v>
      </c>
      <c r="F270" s="16" t="s">
        <v>66</v>
      </c>
      <c r="G270" s="16" t="s">
        <v>174</v>
      </c>
      <c r="H270" s="16" t="s">
        <v>53</v>
      </c>
      <c r="I270" s="16" t="s">
        <v>30</v>
      </c>
      <c r="J270" s="16" t="s">
        <v>1751</v>
      </c>
      <c r="K270" s="16" t="n">
        <v>50.7167282104492</v>
      </c>
      <c r="L270" s="16" t="n">
        <v>-1.90440714359283</v>
      </c>
      <c r="M270" s="16" t="s">
        <v>98</v>
      </c>
      <c r="N270" s="16" t="s">
        <v>1767</v>
      </c>
      <c r="O270" s="16"/>
      <c r="P270" s="16" t="s">
        <v>1768</v>
      </c>
      <c r="Q270" s="16" t="s">
        <v>100</v>
      </c>
    </row>
    <row r="271" customFormat="false" ht="15" hidden="false" customHeight="false" outlineLevel="0" collapsed="false">
      <c r="A271" s="16" t="n">
        <v>40434</v>
      </c>
      <c r="B271" s="16" t="s">
        <v>1769</v>
      </c>
      <c r="C271" s="16" t="s">
        <v>1770</v>
      </c>
      <c r="D271" s="16" t="s">
        <v>23</v>
      </c>
      <c r="E271" s="16" t="s">
        <v>94</v>
      </c>
      <c r="F271" s="16" t="s">
        <v>66</v>
      </c>
      <c r="G271" s="16" t="s">
        <v>1771</v>
      </c>
      <c r="H271" s="16" t="s">
        <v>53</v>
      </c>
      <c r="I271" s="16" t="s">
        <v>30</v>
      </c>
      <c r="J271" s="16" t="s">
        <v>1772</v>
      </c>
      <c r="K271" s="16" t="n">
        <v>50.7802658081055</v>
      </c>
      <c r="L271" s="16" t="n">
        <v>-1.97830379009247</v>
      </c>
      <c r="M271" s="16" t="s">
        <v>98</v>
      </c>
      <c r="N271" s="16" t="s">
        <v>1773</v>
      </c>
      <c r="O271" s="16"/>
      <c r="P271" s="16" t="s">
        <v>1774</v>
      </c>
      <c r="Q271" s="16" t="s">
        <v>100</v>
      </c>
    </row>
    <row r="272" customFormat="false" ht="15" hidden="false" customHeight="false" outlineLevel="0" collapsed="false">
      <c r="A272" s="16" t="n">
        <v>40437</v>
      </c>
      <c r="B272" s="16" t="s">
        <v>1775</v>
      </c>
      <c r="C272" s="16" t="s">
        <v>1776</v>
      </c>
      <c r="D272" s="16" t="s">
        <v>23</v>
      </c>
      <c r="E272" s="16" t="s">
        <v>94</v>
      </c>
      <c r="F272" s="16" t="s">
        <v>66</v>
      </c>
      <c r="G272" s="16" t="s">
        <v>1777</v>
      </c>
      <c r="H272" s="16" t="s">
        <v>53</v>
      </c>
      <c r="I272" s="16" t="s">
        <v>30</v>
      </c>
      <c r="J272" s="16" t="s">
        <v>1778</v>
      </c>
      <c r="K272" s="16" t="n">
        <v>50.6210403442383</v>
      </c>
      <c r="L272" s="16" t="n">
        <v>-2.45099782943726</v>
      </c>
      <c r="M272" s="16" t="s">
        <v>98</v>
      </c>
      <c r="N272" s="16" t="s">
        <v>1779</v>
      </c>
      <c r="O272" s="16"/>
      <c r="P272" s="16" t="s">
        <v>1780</v>
      </c>
      <c r="Q272" s="16" t="s">
        <v>100</v>
      </c>
    </row>
    <row r="273" customFormat="false" ht="15" hidden="false" customHeight="false" outlineLevel="0" collapsed="false">
      <c r="A273" s="16" t="n">
        <v>40438</v>
      </c>
      <c r="B273" s="16" t="s">
        <v>1781</v>
      </c>
      <c r="C273" s="16" t="s">
        <v>1782</v>
      </c>
      <c r="D273" s="16" t="s">
        <v>23</v>
      </c>
      <c r="E273" s="16" t="s">
        <v>94</v>
      </c>
      <c r="F273" s="16" t="s">
        <v>66</v>
      </c>
      <c r="G273" s="16" t="s">
        <v>1777</v>
      </c>
      <c r="H273" s="16" t="s">
        <v>53</v>
      </c>
      <c r="I273" s="16" t="s">
        <v>30</v>
      </c>
      <c r="J273" s="16" t="s">
        <v>1783</v>
      </c>
      <c r="K273" s="16" t="n">
        <v>50.6152420043945</v>
      </c>
      <c r="L273" s="16" t="n">
        <v>-2.48003077507019</v>
      </c>
      <c r="M273" s="16" t="s">
        <v>98</v>
      </c>
      <c r="N273" s="16" t="s">
        <v>1784</v>
      </c>
      <c r="O273" s="16"/>
      <c r="P273" s="16" t="s">
        <v>1748</v>
      </c>
      <c r="Q273" s="16" t="s">
        <v>100</v>
      </c>
    </row>
    <row r="274" customFormat="false" ht="15" hidden="false" customHeight="false" outlineLevel="0" collapsed="false">
      <c r="A274" s="16" t="n">
        <v>40439</v>
      </c>
      <c r="B274" s="16" t="s">
        <v>1785</v>
      </c>
      <c r="C274" s="16" t="s">
        <v>1786</v>
      </c>
      <c r="D274" s="16" t="s">
        <v>23</v>
      </c>
      <c r="E274" s="16" t="s">
        <v>94</v>
      </c>
      <c r="F274" s="16" t="s">
        <v>66</v>
      </c>
      <c r="G274" s="16" t="s">
        <v>1787</v>
      </c>
      <c r="H274" s="16" t="s">
        <v>53</v>
      </c>
      <c r="I274" s="16" t="s">
        <v>30</v>
      </c>
      <c r="J274" s="16" t="s">
        <v>1788</v>
      </c>
      <c r="K274" s="16" t="n">
        <v>50.5658226013184</v>
      </c>
      <c r="L274" s="16" t="n">
        <v>-2.44480848312378</v>
      </c>
      <c r="M274" s="16" t="s">
        <v>98</v>
      </c>
      <c r="N274" s="16" t="s">
        <v>1789</v>
      </c>
      <c r="O274" s="16"/>
      <c r="P274" s="16" t="s">
        <v>1748</v>
      </c>
      <c r="Q274" s="16" t="s">
        <v>100</v>
      </c>
    </row>
    <row r="275" customFormat="false" ht="15" hidden="false" customHeight="false" outlineLevel="0" collapsed="false">
      <c r="A275" s="16" t="n">
        <v>40440</v>
      </c>
      <c r="B275" s="16" t="s">
        <v>1790</v>
      </c>
      <c r="C275" s="16" t="s">
        <v>1791</v>
      </c>
      <c r="D275" s="16" t="s">
        <v>23</v>
      </c>
      <c r="E275" s="16" t="s">
        <v>94</v>
      </c>
      <c r="F275" s="16" t="s">
        <v>66</v>
      </c>
      <c r="G275" s="16" t="s">
        <v>1792</v>
      </c>
      <c r="H275" s="16" t="s">
        <v>53</v>
      </c>
      <c r="I275" s="16" t="s">
        <v>30</v>
      </c>
      <c r="J275" s="16" t="s">
        <v>1793</v>
      </c>
      <c r="K275" s="16" t="n">
        <v>50.7416114807129</v>
      </c>
      <c r="L275" s="16" t="n">
        <v>-2.76991438865662</v>
      </c>
      <c r="M275" s="16" t="s">
        <v>98</v>
      </c>
      <c r="N275" s="16" t="s">
        <v>1794</v>
      </c>
      <c r="O275" s="16"/>
      <c r="P275" s="16" t="s">
        <v>1748</v>
      </c>
      <c r="Q275" s="16" t="s">
        <v>100</v>
      </c>
    </row>
    <row r="276" customFormat="false" ht="15" hidden="false" customHeight="false" outlineLevel="0" collapsed="false">
      <c r="A276" s="16" t="n">
        <v>40441</v>
      </c>
      <c r="B276" s="16" t="s">
        <v>1795</v>
      </c>
      <c r="C276" s="16" t="s">
        <v>1796</v>
      </c>
      <c r="D276" s="16" t="s">
        <v>23</v>
      </c>
      <c r="E276" s="16" t="s">
        <v>94</v>
      </c>
      <c r="F276" s="16" t="s">
        <v>66</v>
      </c>
      <c r="G276" s="16" t="s">
        <v>1797</v>
      </c>
      <c r="H276" s="16" t="s">
        <v>53</v>
      </c>
      <c r="I276" s="16" t="s">
        <v>30</v>
      </c>
      <c r="J276" s="16" t="s">
        <v>1798</v>
      </c>
      <c r="K276" s="16" t="n">
        <v>50.8630752563477</v>
      </c>
      <c r="L276" s="16" t="n">
        <v>-2.16797018051148</v>
      </c>
      <c r="M276" s="16" t="s">
        <v>98</v>
      </c>
      <c r="N276" s="16" t="s">
        <v>1799</v>
      </c>
      <c r="O276" s="16"/>
      <c r="P276" s="16" t="s">
        <v>1748</v>
      </c>
      <c r="Q276" s="16" t="s">
        <v>100</v>
      </c>
    </row>
    <row r="277" customFormat="false" ht="15" hidden="false" customHeight="false" outlineLevel="0" collapsed="false">
      <c r="A277" s="16" t="n">
        <v>40442</v>
      </c>
      <c r="B277" s="16" t="s">
        <v>1800</v>
      </c>
      <c r="C277" s="16" t="s">
        <v>1801</v>
      </c>
      <c r="D277" s="16" t="s">
        <v>23</v>
      </c>
      <c r="E277" s="16" t="s">
        <v>94</v>
      </c>
      <c r="F277" s="16" t="s">
        <v>66</v>
      </c>
      <c r="G277" s="16" t="s">
        <v>1802</v>
      </c>
      <c r="H277" s="16" t="s">
        <v>53</v>
      </c>
      <c r="I277" s="16" t="s">
        <v>30</v>
      </c>
      <c r="J277" s="16" t="s">
        <v>1803</v>
      </c>
      <c r="K277" s="16" t="n">
        <v>51.0047264099121</v>
      </c>
      <c r="L277" s="16" t="n">
        <v>-2.20013618469238</v>
      </c>
      <c r="M277" s="16" t="s">
        <v>98</v>
      </c>
      <c r="N277" s="16" t="s">
        <v>1804</v>
      </c>
      <c r="O277" s="16"/>
      <c r="P277" s="16" t="s">
        <v>1748</v>
      </c>
      <c r="Q277" s="16" t="s">
        <v>100</v>
      </c>
    </row>
    <row r="278" customFormat="false" ht="15" hidden="false" customHeight="false" outlineLevel="0" collapsed="false">
      <c r="A278" s="16" t="n">
        <v>40443</v>
      </c>
      <c r="B278" s="16" t="s">
        <v>1805</v>
      </c>
      <c r="C278" s="16" t="s">
        <v>1806</v>
      </c>
      <c r="D278" s="16" t="s">
        <v>23</v>
      </c>
      <c r="E278" s="16" t="s">
        <v>94</v>
      </c>
      <c r="F278" s="16" t="s">
        <v>66</v>
      </c>
      <c r="G278" s="16" t="s">
        <v>1807</v>
      </c>
      <c r="H278" s="16" t="s">
        <v>53</v>
      </c>
      <c r="I278" s="16" t="s">
        <v>30</v>
      </c>
      <c r="J278" s="16" t="s">
        <v>1808</v>
      </c>
      <c r="K278" s="16" t="n">
        <v>50.9496688842773</v>
      </c>
      <c r="L278" s="16" t="n">
        <v>-2.51982641220093</v>
      </c>
      <c r="M278" s="16" t="s">
        <v>98</v>
      </c>
      <c r="N278" s="16" t="s">
        <v>1809</v>
      </c>
      <c r="O278" s="16"/>
      <c r="P278" s="16" t="s">
        <v>1748</v>
      </c>
      <c r="Q278" s="16" t="s">
        <v>100</v>
      </c>
    </row>
    <row r="279" customFormat="false" ht="15" hidden="false" customHeight="false" outlineLevel="0" collapsed="false">
      <c r="A279" s="16" t="n">
        <v>40444</v>
      </c>
      <c r="B279" s="16" t="s">
        <v>1810</v>
      </c>
      <c r="C279" s="16" t="s">
        <v>1811</v>
      </c>
      <c r="D279" s="16" t="s">
        <v>23</v>
      </c>
      <c r="E279" s="16" t="s">
        <v>94</v>
      </c>
      <c r="F279" s="16" t="s">
        <v>66</v>
      </c>
      <c r="G279" s="16" t="s">
        <v>1812</v>
      </c>
      <c r="H279" s="16" t="s">
        <v>53</v>
      </c>
      <c r="I279" s="16" t="s">
        <v>30</v>
      </c>
      <c r="J279" s="16" t="s">
        <v>1813</v>
      </c>
      <c r="K279" s="16" t="n">
        <v>50.6869888305664</v>
      </c>
      <c r="L279" s="16" t="n">
        <v>-2.11673283576965</v>
      </c>
      <c r="M279" s="16" t="s">
        <v>98</v>
      </c>
      <c r="N279" s="16" t="s">
        <v>1814</v>
      </c>
      <c r="O279" s="16"/>
      <c r="P279" s="16" t="s">
        <v>1748</v>
      </c>
      <c r="Q279" s="16" t="s">
        <v>100</v>
      </c>
    </row>
    <row r="280" customFormat="false" ht="15" hidden="false" customHeight="false" outlineLevel="0" collapsed="false">
      <c r="A280" s="16" t="n">
        <v>40445</v>
      </c>
      <c r="B280" s="16" t="s">
        <v>1815</v>
      </c>
      <c r="C280" s="16" t="s">
        <v>1816</v>
      </c>
      <c r="D280" s="16" t="s">
        <v>23</v>
      </c>
      <c r="E280" s="16" t="s">
        <v>94</v>
      </c>
      <c r="F280" s="16" t="s">
        <v>66</v>
      </c>
      <c r="G280" s="16" t="s">
        <v>1771</v>
      </c>
      <c r="H280" s="16" t="s">
        <v>53</v>
      </c>
      <c r="I280" s="16" t="s">
        <v>30</v>
      </c>
      <c r="J280" s="16" t="s">
        <v>1817</v>
      </c>
      <c r="K280" s="16" t="n">
        <v>50.8022003173828</v>
      </c>
      <c r="L280" s="16" t="n">
        <v>-1.99590408802033</v>
      </c>
      <c r="M280" s="16" t="s">
        <v>98</v>
      </c>
      <c r="N280" s="16" t="s">
        <v>1818</v>
      </c>
      <c r="O280" s="16"/>
      <c r="P280" s="16" t="s">
        <v>1748</v>
      </c>
      <c r="Q280" s="16" t="s">
        <v>100</v>
      </c>
    </row>
    <row r="281" customFormat="false" ht="15" hidden="false" customHeight="false" outlineLevel="0" collapsed="false">
      <c r="A281" s="16" t="n">
        <v>40446</v>
      </c>
      <c r="B281" s="16" t="s">
        <v>1819</v>
      </c>
      <c r="C281" s="16" t="s">
        <v>1820</v>
      </c>
      <c r="D281" s="16" t="s">
        <v>23</v>
      </c>
      <c r="E281" s="16" t="s">
        <v>94</v>
      </c>
      <c r="F281" s="16" t="s">
        <v>66</v>
      </c>
      <c r="G281" s="16" t="s">
        <v>1821</v>
      </c>
      <c r="H281" s="16" t="s">
        <v>53</v>
      </c>
      <c r="I281" s="16" t="s">
        <v>30</v>
      </c>
      <c r="J281" s="16" t="s">
        <v>1822</v>
      </c>
      <c r="K281" s="16" t="n">
        <v>50.6055145263672</v>
      </c>
      <c r="L281" s="16" t="n">
        <v>-1.96119952201843</v>
      </c>
      <c r="M281" s="16" t="s">
        <v>98</v>
      </c>
      <c r="N281" s="16" t="s">
        <v>1823</v>
      </c>
      <c r="O281" s="16"/>
      <c r="P281" s="16" t="s">
        <v>1748</v>
      </c>
      <c r="Q281" s="16" t="s">
        <v>100</v>
      </c>
    </row>
    <row r="282" customFormat="false" ht="15" hidden="false" customHeight="false" outlineLevel="0" collapsed="false">
      <c r="A282" s="16" t="n">
        <v>40447</v>
      </c>
      <c r="B282" s="16" t="s">
        <v>1824</v>
      </c>
      <c r="C282" s="16" t="s">
        <v>1825</v>
      </c>
      <c r="D282" s="16" t="s">
        <v>23</v>
      </c>
      <c r="E282" s="16" t="s">
        <v>94</v>
      </c>
      <c r="F282" s="16" t="s">
        <v>66</v>
      </c>
      <c r="G282" s="16" t="s">
        <v>1826</v>
      </c>
      <c r="H282" s="16" t="s">
        <v>53</v>
      </c>
      <c r="I282" s="16" t="s">
        <v>30</v>
      </c>
      <c r="J282" s="16" t="s">
        <v>1827</v>
      </c>
      <c r="K282" s="16" t="n">
        <v>50.8172645568848</v>
      </c>
      <c r="L282" s="16" t="n">
        <v>-1.8565639257431</v>
      </c>
      <c r="M282" s="16" t="s">
        <v>98</v>
      </c>
      <c r="N282" s="16" t="s">
        <v>1828</v>
      </c>
      <c r="O282" s="16"/>
      <c r="P282" s="16" t="s">
        <v>1748</v>
      </c>
      <c r="Q282" s="16" t="s">
        <v>100</v>
      </c>
    </row>
    <row r="283" customFormat="false" ht="15" hidden="false" customHeight="false" outlineLevel="0" collapsed="false">
      <c r="A283" s="16" t="n">
        <v>40450</v>
      </c>
      <c r="B283" s="16" t="s">
        <v>1829</v>
      </c>
      <c r="C283" s="16" t="s">
        <v>1830</v>
      </c>
      <c r="D283" s="16" t="s">
        <v>23</v>
      </c>
      <c r="E283" s="16" t="s">
        <v>94</v>
      </c>
      <c r="F283" s="16" t="s">
        <v>1831</v>
      </c>
      <c r="G283" s="16" t="s">
        <v>1762</v>
      </c>
      <c r="H283" s="16" t="s">
        <v>53</v>
      </c>
      <c r="I283" s="16" t="s">
        <v>30</v>
      </c>
      <c r="J283" s="16" t="s">
        <v>1832</v>
      </c>
      <c r="K283" s="16" t="n">
        <v>50.7451667785645</v>
      </c>
      <c r="L283" s="16" t="n">
        <v>-1.79014110565186</v>
      </c>
      <c r="M283" s="16" t="s">
        <v>98</v>
      </c>
      <c r="N283" s="16" t="s">
        <v>1833</v>
      </c>
      <c r="O283" s="16" t="s">
        <v>1834</v>
      </c>
      <c r="P283" s="16" t="s">
        <v>1835</v>
      </c>
      <c r="Q283" s="16" t="s">
        <v>100</v>
      </c>
    </row>
    <row r="284" customFormat="false" ht="15" hidden="false" customHeight="false" outlineLevel="0" collapsed="false">
      <c r="A284" s="16" t="n">
        <v>40451</v>
      </c>
      <c r="B284" s="16" t="s">
        <v>1836</v>
      </c>
      <c r="C284" s="16" t="s">
        <v>1837</v>
      </c>
      <c r="D284" s="16" t="s">
        <v>23</v>
      </c>
      <c r="E284" s="16" t="s">
        <v>94</v>
      </c>
      <c r="F284" s="16" t="s">
        <v>1831</v>
      </c>
      <c r="G284" s="16" t="s">
        <v>174</v>
      </c>
      <c r="H284" s="16" t="s">
        <v>53</v>
      </c>
      <c r="I284" s="16" t="s">
        <v>30</v>
      </c>
      <c r="J284" s="16" t="s">
        <v>1838</v>
      </c>
      <c r="K284" s="16" t="n">
        <v>50.747486114502</v>
      </c>
      <c r="L284" s="16" t="n">
        <v>-1.82050561904907</v>
      </c>
      <c r="M284" s="16" t="s">
        <v>98</v>
      </c>
      <c r="N284" s="16" t="s">
        <v>1839</v>
      </c>
      <c r="O284" s="16" t="s">
        <v>1840</v>
      </c>
      <c r="P284" s="16" t="s">
        <v>1835</v>
      </c>
      <c r="Q284" s="16" t="s">
        <v>100</v>
      </c>
    </row>
    <row r="285" customFormat="false" ht="15" hidden="false" customHeight="false" outlineLevel="0" collapsed="false">
      <c r="A285" s="16" t="n">
        <v>40457</v>
      </c>
      <c r="B285" s="16" t="s">
        <v>1841</v>
      </c>
      <c r="C285" s="16" t="s">
        <v>1842</v>
      </c>
      <c r="D285" s="16" t="s">
        <v>23</v>
      </c>
      <c r="E285" s="16" t="s">
        <v>94</v>
      </c>
      <c r="F285" s="16" t="s">
        <v>1843</v>
      </c>
      <c r="G285" s="16" t="s">
        <v>1844</v>
      </c>
      <c r="H285" s="16" t="s">
        <v>279</v>
      </c>
      <c r="I285" s="16" t="s">
        <v>37</v>
      </c>
      <c r="J285" s="16" t="s">
        <v>1845</v>
      </c>
      <c r="K285" s="16" t="n">
        <v>54.9666252136231</v>
      </c>
      <c r="L285" s="16" t="n">
        <v>-1.50126016139984</v>
      </c>
      <c r="M285" s="16" t="s">
        <v>98</v>
      </c>
      <c r="N285" s="16" t="s">
        <v>1846</v>
      </c>
      <c r="O285" s="16"/>
      <c r="P285" s="16"/>
      <c r="Q285" s="16" t="s">
        <v>100</v>
      </c>
    </row>
    <row r="286" customFormat="false" ht="15" hidden="false" customHeight="false" outlineLevel="0" collapsed="false">
      <c r="A286" s="16" t="n">
        <v>40466</v>
      </c>
      <c r="B286" s="16" t="s">
        <v>1847</v>
      </c>
      <c r="C286" s="16" t="s">
        <v>1848</v>
      </c>
      <c r="D286" s="16" t="s">
        <v>23</v>
      </c>
      <c r="E286" s="16" t="s">
        <v>94</v>
      </c>
      <c r="F286" s="16" t="s">
        <v>1843</v>
      </c>
      <c r="G286" s="16" t="s">
        <v>1849</v>
      </c>
      <c r="H286" s="16" t="s">
        <v>279</v>
      </c>
      <c r="I286" s="16" t="s">
        <v>37</v>
      </c>
      <c r="J286" s="16" t="s">
        <v>1850</v>
      </c>
      <c r="K286" s="16" t="n">
        <v>54.9712028503418</v>
      </c>
      <c r="L286" s="16" t="n">
        <v>-1.42843961715698</v>
      </c>
      <c r="M286" s="16" t="s">
        <v>98</v>
      </c>
      <c r="N286" s="16" t="s">
        <v>1851</v>
      </c>
      <c r="O286" s="16" t="s">
        <v>1852</v>
      </c>
      <c r="P286" s="16" t="s">
        <v>1853</v>
      </c>
      <c r="Q286" s="16" t="s">
        <v>100</v>
      </c>
    </row>
    <row r="287" customFormat="false" ht="15" hidden="false" customHeight="false" outlineLevel="0" collapsed="false">
      <c r="A287" s="16" t="n">
        <v>40467</v>
      </c>
      <c r="B287" s="16" t="s">
        <v>1854</v>
      </c>
      <c r="C287" s="16" t="s">
        <v>1855</v>
      </c>
      <c r="D287" s="16" t="s">
        <v>23</v>
      </c>
      <c r="E287" s="16" t="s">
        <v>94</v>
      </c>
      <c r="F287" s="16" t="s">
        <v>1843</v>
      </c>
      <c r="G287" s="16" t="s">
        <v>1844</v>
      </c>
      <c r="H287" s="16" t="s">
        <v>279</v>
      </c>
      <c r="I287" s="16" t="s">
        <v>37</v>
      </c>
      <c r="J287" s="16" t="s">
        <v>1856</v>
      </c>
      <c r="K287" s="16" t="n">
        <v>54.967658996582</v>
      </c>
      <c r="L287" s="16" t="n">
        <v>-1.48570561408997</v>
      </c>
      <c r="M287" s="16" t="s">
        <v>98</v>
      </c>
      <c r="N287" s="16" t="s">
        <v>1857</v>
      </c>
      <c r="O287" s="16" t="s">
        <v>1858</v>
      </c>
      <c r="P287" s="16" t="s">
        <v>1859</v>
      </c>
      <c r="Q287" s="16" t="s">
        <v>100</v>
      </c>
    </row>
    <row r="288" customFormat="false" ht="15" hidden="false" customHeight="false" outlineLevel="0" collapsed="false">
      <c r="A288" s="16" t="n">
        <v>40468</v>
      </c>
      <c r="B288" s="16" t="s">
        <v>1860</v>
      </c>
      <c r="C288" s="16" t="s">
        <v>1861</v>
      </c>
      <c r="D288" s="16" t="s">
        <v>23</v>
      </c>
      <c r="E288" s="16" t="s">
        <v>94</v>
      </c>
      <c r="F288" s="16" t="s">
        <v>1843</v>
      </c>
      <c r="G288" s="16" t="s">
        <v>1844</v>
      </c>
      <c r="H288" s="16" t="s">
        <v>279</v>
      </c>
      <c r="I288" s="16" t="s">
        <v>37</v>
      </c>
      <c r="J288" s="16" t="s">
        <v>1862</v>
      </c>
      <c r="K288" s="16" t="n">
        <v>54.9806594848633</v>
      </c>
      <c r="L288" s="16" t="n">
        <v>-1.49196135997772</v>
      </c>
      <c r="M288" s="16" t="s">
        <v>98</v>
      </c>
      <c r="N288" s="16" t="s">
        <v>1863</v>
      </c>
      <c r="O288" s="16" t="s">
        <v>1852</v>
      </c>
      <c r="P288" s="16" t="s">
        <v>1853</v>
      </c>
      <c r="Q288" s="16" t="s">
        <v>100</v>
      </c>
    </row>
    <row r="289" customFormat="false" ht="15" hidden="false" customHeight="false" outlineLevel="0" collapsed="false">
      <c r="A289" s="16" t="n">
        <v>40470</v>
      </c>
      <c r="B289" s="16" t="s">
        <v>1864</v>
      </c>
      <c r="C289" s="16" t="s">
        <v>1865</v>
      </c>
      <c r="D289" s="16" t="s">
        <v>23</v>
      </c>
      <c r="E289" s="16" t="s">
        <v>94</v>
      </c>
      <c r="F289" s="16" t="s">
        <v>1866</v>
      </c>
      <c r="G289" s="16" t="s">
        <v>1867</v>
      </c>
      <c r="H289" s="16" t="s">
        <v>1034</v>
      </c>
      <c r="I289" s="16" t="s">
        <v>30</v>
      </c>
      <c r="J289" s="16" t="s">
        <v>1868</v>
      </c>
      <c r="K289" s="16" t="n">
        <v>50.1220664978027</v>
      </c>
      <c r="L289" s="16" t="n">
        <v>-5.54296445846558</v>
      </c>
      <c r="M289" s="16" t="s">
        <v>98</v>
      </c>
      <c r="N289" s="16" t="s">
        <v>1869</v>
      </c>
      <c r="O289" s="16" t="s">
        <v>1870</v>
      </c>
      <c r="P289" s="16" t="s">
        <v>1871</v>
      </c>
      <c r="Q289" s="16" t="s">
        <v>100</v>
      </c>
    </row>
    <row r="290" customFormat="false" ht="15" hidden="false" customHeight="false" outlineLevel="0" collapsed="false">
      <c r="A290" s="16" t="n">
        <v>40471</v>
      </c>
      <c r="B290" s="16" t="s">
        <v>1872</v>
      </c>
      <c r="C290" s="16" t="s">
        <v>1328</v>
      </c>
      <c r="D290" s="16" t="s">
        <v>23</v>
      </c>
      <c r="E290" s="16" t="s">
        <v>94</v>
      </c>
      <c r="F290" s="16" t="s">
        <v>1866</v>
      </c>
      <c r="G290" s="16" t="s">
        <v>1873</v>
      </c>
      <c r="H290" s="16" t="s">
        <v>1034</v>
      </c>
      <c r="I290" s="16" t="s">
        <v>30</v>
      </c>
      <c r="J290" s="16" t="s">
        <v>1874</v>
      </c>
      <c r="K290" s="16" t="n">
        <v>50.180362701416</v>
      </c>
      <c r="L290" s="16" t="n">
        <v>-5.42441082000732</v>
      </c>
      <c r="M290" s="16" t="s">
        <v>98</v>
      </c>
      <c r="N290" s="16" t="s">
        <v>1875</v>
      </c>
      <c r="O290" s="16" t="s">
        <v>1870</v>
      </c>
      <c r="P290" s="16" t="s">
        <v>1871</v>
      </c>
      <c r="Q290" s="16" t="s">
        <v>100</v>
      </c>
    </row>
    <row r="291" customFormat="false" ht="15" hidden="false" customHeight="false" outlineLevel="0" collapsed="false">
      <c r="A291" s="16" t="n">
        <v>40472</v>
      </c>
      <c r="B291" s="16" t="s">
        <v>1876</v>
      </c>
      <c r="C291" s="16" t="s">
        <v>1877</v>
      </c>
      <c r="D291" s="16" t="s">
        <v>23</v>
      </c>
      <c r="E291" s="16" t="s">
        <v>94</v>
      </c>
      <c r="F291" s="16" t="s">
        <v>1866</v>
      </c>
      <c r="G291" s="16" t="s">
        <v>1033</v>
      </c>
      <c r="H291" s="16" t="s">
        <v>1034</v>
      </c>
      <c r="I291" s="16" t="s">
        <v>30</v>
      </c>
      <c r="J291" s="16" t="s">
        <v>1878</v>
      </c>
      <c r="K291" s="16" t="n">
        <v>50.2665672302246</v>
      </c>
      <c r="L291" s="16" t="n">
        <v>-5.09425020217896</v>
      </c>
      <c r="M291" s="16" t="s">
        <v>98</v>
      </c>
      <c r="N291" s="16" t="s">
        <v>1879</v>
      </c>
      <c r="O291" s="16" t="s">
        <v>1870</v>
      </c>
      <c r="P291" s="16" t="s">
        <v>1871</v>
      </c>
      <c r="Q291" s="16" t="s">
        <v>100</v>
      </c>
    </row>
    <row r="292" customFormat="false" ht="15" hidden="false" customHeight="false" outlineLevel="0" collapsed="false">
      <c r="A292" s="16" t="n">
        <v>40481</v>
      </c>
      <c r="B292" s="16" t="s">
        <v>1880</v>
      </c>
      <c r="C292" s="16" t="s">
        <v>1881</v>
      </c>
      <c r="D292" s="16" t="s">
        <v>23</v>
      </c>
      <c r="E292" s="16" t="s">
        <v>94</v>
      </c>
      <c r="F292" s="16" t="s">
        <v>1882</v>
      </c>
      <c r="G292" s="16" t="s">
        <v>495</v>
      </c>
      <c r="H292" s="16" t="s">
        <v>52</v>
      </c>
      <c r="I292" s="16" t="s">
        <v>31</v>
      </c>
      <c r="J292" s="16" t="s">
        <v>1883</v>
      </c>
      <c r="K292" s="16" t="n">
        <v>53.4663276672363</v>
      </c>
      <c r="L292" s="16" t="n">
        <v>-2.93108940124512</v>
      </c>
      <c r="M292" s="16" t="s">
        <v>98</v>
      </c>
      <c r="N292" s="16" t="s">
        <v>1884</v>
      </c>
      <c r="O292" s="16"/>
      <c r="P292" s="16" t="s">
        <v>1885</v>
      </c>
      <c r="Q292" s="16" t="s">
        <v>100</v>
      </c>
    </row>
    <row r="293" customFormat="false" ht="15" hidden="false" customHeight="false" outlineLevel="0" collapsed="false">
      <c r="A293" s="16" t="n">
        <v>40499</v>
      </c>
      <c r="B293" s="16" t="s">
        <v>1886</v>
      </c>
      <c r="C293" s="16" t="s">
        <v>1887</v>
      </c>
      <c r="D293" s="16" t="s">
        <v>23</v>
      </c>
      <c r="E293" s="16" t="s">
        <v>94</v>
      </c>
      <c r="F293" s="16" t="s">
        <v>1882</v>
      </c>
      <c r="G293" s="16" t="s">
        <v>495</v>
      </c>
      <c r="H293" s="16" t="s">
        <v>52</v>
      </c>
      <c r="I293" s="16" t="s">
        <v>31</v>
      </c>
      <c r="J293" s="16" t="s">
        <v>1888</v>
      </c>
      <c r="K293" s="16" t="n">
        <v>53.4095115661621</v>
      </c>
      <c r="L293" s="16" t="n">
        <v>-2.96479415893555</v>
      </c>
      <c r="M293" s="16" t="s">
        <v>100</v>
      </c>
      <c r="N293" s="16"/>
      <c r="O293" s="16"/>
      <c r="P293" s="16"/>
      <c r="Q293" s="16" t="s">
        <v>100</v>
      </c>
    </row>
    <row r="294" customFormat="false" ht="15" hidden="false" customHeight="false" outlineLevel="0" collapsed="false">
      <c r="A294" s="16" t="n">
        <v>40504</v>
      </c>
      <c r="B294" s="16" t="s">
        <v>1889</v>
      </c>
      <c r="C294" s="16" t="s">
        <v>1890</v>
      </c>
      <c r="D294" s="16" t="s">
        <v>23</v>
      </c>
      <c r="E294" s="16" t="s">
        <v>94</v>
      </c>
      <c r="F294" s="16" t="s">
        <v>1890</v>
      </c>
      <c r="G294" s="16" t="s">
        <v>495</v>
      </c>
      <c r="H294" s="16" t="s">
        <v>52</v>
      </c>
      <c r="I294" s="16" t="s">
        <v>31</v>
      </c>
      <c r="J294" s="16" t="s">
        <v>1891</v>
      </c>
      <c r="K294" s="16" t="n">
        <v>53.3984642028809</v>
      </c>
      <c r="L294" s="16" t="n">
        <v>-2.9600625038147</v>
      </c>
      <c r="M294" s="16" t="s">
        <v>98</v>
      </c>
      <c r="N294" s="16" t="s">
        <v>1892</v>
      </c>
      <c r="O294" s="16"/>
      <c r="P294" s="16" t="s">
        <v>1893</v>
      </c>
      <c r="Q294" s="16" t="s">
        <v>100</v>
      </c>
    </row>
    <row r="295" customFormat="false" ht="15" hidden="false" customHeight="false" outlineLevel="0" collapsed="false">
      <c r="A295" s="16" t="n">
        <v>40560</v>
      </c>
      <c r="B295" s="16" t="s">
        <v>1894</v>
      </c>
      <c r="C295" s="16" t="s">
        <v>1895</v>
      </c>
      <c r="D295" s="16" t="s">
        <v>23</v>
      </c>
      <c r="E295" s="16" t="s">
        <v>94</v>
      </c>
      <c r="F295" s="16" t="s">
        <v>1896</v>
      </c>
      <c r="G295" s="16" t="s">
        <v>495</v>
      </c>
      <c r="H295" s="16" t="s">
        <v>52</v>
      </c>
      <c r="I295" s="16" t="s">
        <v>31</v>
      </c>
      <c r="J295" s="16" t="s">
        <v>1897</v>
      </c>
      <c r="K295" s="16" t="n">
        <v>53.4664001464844</v>
      </c>
      <c r="L295" s="16" t="n">
        <v>-2.93098545074463</v>
      </c>
      <c r="M295" s="16" t="s">
        <v>98</v>
      </c>
      <c r="N295" s="16" t="s">
        <v>1898</v>
      </c>
      <c r="O295" s="16" t="s">
        <v>1899</v>
      </c>
      <c r="P295" s="16" t="s">
        <v>1900</v>
      </c>
      <c r="Q295" s="16" t="s">
        <v>100</v>
      </c>
    </row>
    <row r="296" customFormat="false" ht="15" hidden="false" customHeight="false" outlineLevel="0" collapsed="false">
      <c r="A296" s="16" t="n">
        <v>40563</v>
      </c>
      <c r="B296" s="16" t="s">
        <v>1901</v>
      </c>
      <c r="C296" s="16" t="s">
        <v>1902</v>
      </c>
      <c r="D296" s="16" t="s">
        <v>23</v>
      </c>
      <c r="E296" s="16" t="s">
        <v>94</v>
      </c>
      <c r="F296" s="16" t="s">
        <v>1903</v>
      </c>
      <c r="G296" s="16" t="s">
        <v>401</v>
      </c>
      <c r="H296" s="16" t="s">
        <v>49</v>
      </c>
      <c r="I296" s="16" t="s">
        <v>32</v>
      </c>
      <c r="J296" s="16" t="s">
        <v>961</v>
      </c>
      <c r="K296" s="16" t="n">
        <v>51.5805435180664</v>
      </c>
      <c r="L296" s="16" t="n">
        <v>0.112121284008026</v>
      </c>
      <c r="M296" s="16" t="s">
        <v>98</v>
      </c>
      <c r="N296" s="16" t="s">
        <v>1904</v>
      </c>
      <c r="O296" s="16"/>
      <c r="P296" s="16" t="s">
        <v>1905</v>
      </c>
      <c r="Q296" s="16" t="s">
        <v>100</v>
      </c>
    </row>
    <row r="297" customFormat="false" ht="15" hidden="false" customHeight="false" outlineLevel="0" collapsed="false">
      <c r="A297" s="16" t="n">
        <v>40568</v>
      </c>
      <c r="B297" s="16" t="s">
        <v>1906</v>
      </c>
      <c r="C297" s="16" t="s">
        <v>1907</v>
      </c>
      <c r="D297" s="16" t="s">
        <v>23</v>
      </c>
      <c r="E297" s="16" t="s">
        <v>94</v>
      </c>
      <c r="F297" s="16" t="s">
        <v>1903</v>
      </c>
      <c r="G297" s="16" t="s">
        <v>1908</v>
      </c>
      <c r="H297" s="16" t="s">
        <v>49</v>
      </c>
      <c r="I297" s="16" t="s">
        <v>32</v>
      </c>
      <c r="J297" s="16" t="s">
        <v>1909</v>
      </c>
      <c r="K297" s="16" t="n">
        <v>51.5694274902344</v>
      </c>
      <c r="L297" s="16" t="n">
        <v>0.180405303835869</v>
      </c>
      <c r="M297" s="16" t="s">
        <v>98</v>
      </c>
      <c r="N297" s="16" t="s">
        <v>1910</v>
      </c>
      <c r="O297" s="16"/>
      <c r="P297" s="16" t="s">
        <v>1905</v>
      </c>
      <c r="Q297" s="16" t="s">
        <v>100</v>
      </c>
    </row>
    <row r="298" customFormat="false" ht="15" hidden="false" customHeight="false" outlineLevel="0" collapsed="false">
      <c r="A298" s="16" t="n">
        <v>40570</v>
      </c>
      <c r="B298" s="16" t="s">
        <v>1911</v>
      </c>
      <c r="C298" s="16" t="s">
        <v>1912</v>
      </c>
      <c r="D298" s="16" t="s">
        <v>23</v>
      </c>
      <c r="E298" s="16" t="s">
        <v>94</v>
      </c>
      <c r="F298" s="16" t="s">
        <v>1913</v>
      </c>
      <c r="G298" s="16" t="s">
        <v>1914</v>
      </c>
      <c r="H298" s="16" t="s">
        <v>1915</v>
      </c>
      <c r="I298" s="16" t="s">
        <v>35</v>
      </c>
      <c r="J298" s="16" t="s">
        <v>1916</v>
      </c>
      <c r="K298" s="16" t="n">
        <v>53.5591354370117</v>
      </c>
      <c r="L298" s="16" t="n">
        <v>-1.49947798252106</v>
      </c>
      <c r="M298" s="16" t="s">
        <v>98</v>
      </c>
      <c r="N298" s="16" t="s">
        <v>1917</v>
      </c>
      <c r="O298" s="16"/>
      <c r="P298" s="16" t="s">
        <v>1918</v>
      </c>
      <c r="Q298" s="16" t="s">
        <v>100</v>
      </c>
    </row>
    <row r="299" customFormat="false" ht="15" hidden="false" customHeight="false" outlineLevel="0" collapsed="false">
      <c r="A299" s="16" t="n">
        <v>40573</v>
      </c>
      <c r="B299" s="16" t="s">
        <v>1919</v>
      </c>
      <c r="C299" s="16" t="s">
        <v>1920</v>
      </c>
      <c r="D299" s="16" t="s">
        <v>23</v>
      </c>
      <c r="E299" s="16" t="s">
        <v>94</v>
      </c>
      <c r="F299" s="16" t="s">
        <v>1921</v>
      </c>
      <c r="G299" s="16" t="s">
        <v>1922</v>
      </c>
      <c r="H299" s="16" t="s">
        <v>762</v>
      </c>
      <c r="I299" s="16" t="s">
        <v>35</v>
      </c>
      <c r="J299" s="16" t="s">
        <v>1923</v>
      </c>
      <c r="K299" s="16" t="n">
        <v>53.4139747619629</v>
      </c>
      <c r="L299" s="16" t="n">
        <v>-1.34286546707153</v>
      </c>
      <c r="M299" s="16" t="s">
        <v>98</v>
      </c>
      <c r="N299" s="16" t="s">
        <v>1924</v>
      </c>
      <c r="O299" s="16" t="s">
        <v>1925</v>
      </c>
      <c r="P299" s="16" t="s">
        <v>1926</v>
      </c>
      <c r="Q299" s="16" t="s">
        <v>100</v>
      </c>
    </row>
    <row r="300" customFormat="false" ht="15" hidden="false" customHeight="false" outlineLevel="0" collapsed="false">
      <c r="A300" s="16" t="n">
        <v>40583</v>
      </c>
      <c r="B300" s="16" t="s">
        <v>1927</v>
      </c>
      <c r="C300" s="16" t="s">
        <v>1928</v>
      </c>
      <c r="D300" s="16" t="s">
        <v>23</v>
      </c>
      <c r="E300" s="16" t="s">
        <v>94</v>
      </c>
      <c r="F300" s="16" t="s">
        <v>1929</v>
      </c>
      <c r="G300" s="16" t="s">
        <v>1930</v>
      </c>
      <c r="H300" s="16" t="s">
        <v>220</v>
      </c>
      <c r="I300" s="16" t="s">
        <v>36</v>
      </c>
      <c r="J300" s="16" t="s">
        <v>1931</v>
      </c>
      <c r="K300" s="16" t="n">
        <v>53.2362174987793</v>
      </c>
      <c r="L300" s="16" t="n">
        <v>-1.40003657341003</v>
      </c>
      <c r="M300" s="16" t="s">
        <v>98</v>
      </c>
      <c r="N300" s="16" t="s">
        <v>1932</v>
      </c>
      <c r="O300" s="16" t="s">
        <v>1933</v>
      </c>
      <c r="P300" s="16" t="s">
        <v>1934</v>
      </c>
      <c r="Q300" s="16" t="s">
        <v>100</v>
      </c>
    </row>
    <row r="301" customFormat="false" ht="15" hidden="false" customHeight="false" outlineLevel="0" collapsed="false">
      <c r="A301" s="16" t="n">
        <v>40644</v>
      </c>
      <c r="B301" s="16" t="s">
        <v>1935</v>
      </c>
      <c r="C301" s="16" t="s">
        <v>1936</v>
      </c>
      <c r="D301" s="16" t="s">
        <v>23</v>
      </c>
      <c r="E301" s="16" t="s">
        <v>94</v>
      </c>
      <c r="F301" s="16" t="s">
        <v>1937</v>
      </c>
      <c r="G301" s="16" t="s">
        <v>265</v>
      </c>
      <c r="H301" s="16" t="s">
        <v>50</v>
      </c>
      <c r="I301" s="16" t="s">
        <v>35</v>
      </c>
      <c r="J301" s="16" t="s">
        <v>1938</v>
      </c>
      <c r="K301" s="16" t="n">
        <v>53.8040809631348</v>
      </c>
      <c r="L301" s="16" t="n">
        <v>-1.55883705615997</v>
      </c>
      <c r="M301" s="16" t="s">
        <v>98</v>
      </c>
      <c r="N301" s="16" t="s">
        <v>1939</v>
      </c>
      <c r="O301" s="16" t="s">
        <v>1940</v>
      </c>
      <c r="P301" s="16" t="s">
        <v>1941</v>
      </c>
      <c r="Q301" s="16" t="s">
        <v>100</v>
      </c>
    </row>
    <row r="302" customFormat="false" ht="15" hidden="false" customHeight="false" outlineLevel="0" collapsed="false">
      <c r="A302" s="16" t="n">
        <v>40646</v>
      </c>
      <c r="B302" s="16" t="s">
        <v>1942</v>
      </c>
      <c r="C302" s="16" t="s">
        <v>1943</v>
      </c>
      <c r="D302" s="16" t="s">
        <v>23</v>
      </c>
      <c r="E302" s="16" t="s">
        <v>94</v>
      </c>
      <c r="F302" s="16" t="s">
        <v>1937</v>
      </c>
      <c r="G302" s="16" t="s">
        <v>265</v>
      </c>
      <c r="H302" s="16" t="s">
        <v>50</v>
      </c>
      <c r="I302" s="16" t="s">
        <v>35</v>
      </c>
      <c r="J302" s="16" t="s">
        <v>1944</v>
      </c>
      <c r="K302" s="16" t="n">
        <v>53.7999076843262</v>
      </c>
      <c r="L302" s="16" t="n">
        <v>-1.61238431930542</v>
      </c>
      <c r="M302" s="16" t="s">
        <v>98</v>
      </c>
      <c r="N302" s="16" t="s">
        <v>1939</v>
      </c>
      <c r="O302" s="16" t="s">
        <v>1940</v>
      </c>
      <c r="P302" s="16" t="s">
        <v>1945</v>
      </c>
      <c r="Q302" s="16" t="s">
        <v>100</v>
      </c>
    </row>
    <row r="303" customFormat="false" ht="15" hidden="false" customHeight="false" outlineLevel="0" collapsed="false">
      <c r="A303" s="16" t="n">
        <v>40647</v>
      </c>
      <c r="B303" s="16" t="s">
        <v>1946</v>
      </c>
      <c r="C303" s="16" t="s">
        <v>1947</v>
      </c>
      <c r="D303" s="16" t="s">
        <v>23</v>
      </c>
      <c r="E303" s="16" t="s">
        <v>94</v>
      </c>
      <c r="F303" s="16" t="s">
        <v>1937</v>
      </c>
      <c r="G303" s="16" t="s">
        <v>265</v>
      </c>
      <c r="H303" s="16" t="s">
        <v>50</v>
      </c>
      <c r="I303" s="16" t="s">
        <v>35</v>
      </c>
      <c r="J303" s="16" t="s">
        <v>1948</v>
      </c>
      <c r="K303" s="16" t="n">
        <v>53.8049392700195</v>
      </c>
      <c r="L303" s="16" t="n">
        <v>-1.47147178649902</v>
      </c>
      <c r="M303" s="16" t="s">
        <v>98</v>
      </c>
      <c r="N303" s="16" t="s">
        <v>1949</v>
      </c>
      <c r="O303" s="16" t="s">
        <v>1940</v>
      </c>
      <c r="P303" s="16" t="s">
        <v>1941</v>
      </c>
      <c r="Q303" s="16" t="s">
        <v>100</v>
      </c>
    </row>
    <row r="304" customFormat="false" ht="15" hidden="false" customHeight="false" outlineLevel="0" collapsed="false">
      <c r="A304" s="16" t="n">
        <v>40648</v>
      </c>
      <c r="B304" s="16" t="s">
        <v>1950</v>
      </c>
      <c r="C304" s="16" t="s">
        <v>1951</v>
      </c>
      <c r="D304" s="16" t="s">
        <v>23</v>
      </c>
      <c r="E304" s="16" t="s">
        <v>94</v>
      </c>
      <c r="F304" s="16" t="s">
        <v>1937</v>
      </c>
      <c r="G304" s="16" t="s">
        <v>265</v>
      </c>
      <c r="H304" s="16" t="s">
        <v>50</v>
      </c>
      <c r="I304" s="16" t="s">
        <v>35</v>
      </c>
      <c r="J304" s="16" t="s">
        <v>1952</v>
      </c>
      <c r="K304" s="16" t="n">
        <v>53.8052635192871</v>
      </c>
      <c r="L304" s="16" t="n">
        <v>-1.52447712421417</v>
      </c>
      <c r="M304" s="16" t="s">
        <v>98</v>
      </c>
      <c r="N304" s="16" t="s">
        <v>1939</v>
      </c>
      <c r="O304" s="16" t="s">
        <v>1940</v>
      </c>
      <c r="P304" s="16" t="s">
        <v>1945</v>
      </c>
      <c r="Q304" s="16" t="s">
        <v>100</v>
      </c>
    </row>
    <row r="305" customFormat="false" ht="15" hidden="false" customHeight="false" outlineLevel="0" collapsed="false">
      <c r="A305" s="16" t="n">
        <v>40650</v>
      </c>
      <c r="B305" s="16" t="s">
        <v>1953</v>
      </c>
      <c r="C305" s="16" t="s">
        <v>1954</v>
      </c>
      <c r="D305" s="16" t="s">
        <v>23</v>
      </c>
      <c r="E305" s="16" t="s">
        <v>94</v>
      </c>
      <c r="F305" s="16" t="s">
        <v>1955</v>
      </c>
      <c r="G305" s="16" t="s">
        <v>197</v>
      </c>
      <c r="H305" s="16" t="s">
        <v>157</v>
      </c>
      <c r="I305" s="16" t="s">
        <v>32</v>
      </c>
      <c r="J305" s="16" t="s">
        <v>1956</v>
      </c>
      <c r="K305" s="16" t="n">
        <v>52.1723861694336</v>
      </c>
      <c r="L305" s="16" t="n">
        <v>0.136189624667168</v>
      </c>
      <c r="M305" s="16" t="s">
        <v>98</v>
      </c>
      <c r="N305" s="16" t="s">
        <v>1957</v>
      </c>
      <c r="O305" s="16" t="s">
        <v>1958</v>
      </c>
      <c r="P305" s="16" t="s">
        <v>1959</v>
      </c>
      <c r="Q305" s="16" t="s">
        <v>100</v>
      </c>
    </row>
    <row r="306" customFormat="false" ht="15" hidden="false" customHeight="false" outlineLevel="0" collapsed="false">
      <c r="A306" s="16" t="n">
        <v>40654</v>
      </c>
      <c r="B306" s="16" t="s">
        <v>1960</v>
      </c>
      <c r="C306" s="16" t="s">
        <v>1961</v>
      </c>
      <c r="D306" s="16" t="s">
        <v>23</v>
      </c>
      <c r="E306" s="16" t="s">
        <v>94</v>
      </c>
      <c r="F306" s="16" t="s">
        <v>1962</v>
      </c>
      <c r="G306" s="16" t="s">
        <v>1963</v>
      </c>
      <c r="H306" s="16" t="s">
        <v>814</v>
      </c>
      <c r="I306" s="16" t="s">
        <v>36</v>
      </c>
      <c r="J306" s="16" t="s">
        <v>1964</v>
      </c>
      <c r="K306" s="16" t="n">
        <v>52.6553726196289</v>
      </c>
      <c r="L306" s="16" t="n">
        <v>-0.468735933303833</v>
      </c>
      <c r="M306" s="16" t="s">
        <v>98</v>
      </c>
      <c r="N306" s="16" t="s">
        <v>1965</v>
      </c>
      <c r="O306" s="16"/>
      <c r="P306" s="16" t="s">
        <v>1966</v>
      </c>
      <c r="Q306" s="16" t="s">
        <v>100</v>
      </c>
    </row>
    <row r="307" customFormat="false" ht="15" hidden="false" customHeight="false" outlineLevel="0" collapsed="false">
      <c r="A307" s="16" t="n">
        <v>40658</v>
      </c>
      <c r="B307" s="16" t="s">
        <v>1967</v>
      </c>
      <c r="C307" s="16" t="s">
        <v>1968</v>
      </c>
      <c r="D307" s="16" t="s">
        <v>23</v>
      </c>
      <c r="E307" s="16" t="s">
        <v>94</v>
      </c>
      <c r="F307" s="16" t="s">
        <v>1962</v>
      </c>
      <c r="G307" s="16" t="s">
        <v>156</v>
      </c>
      <c r="H307" s="16" t="s">
        <v>157</v>
      </c>
      <c r="I307" s="16" t="s">
        <v>32</v>
      </c>
      <c r="J307" s="16" t="s">
        <v>1969</v>
      </c>
      <c r="K307" s="16" t="n">
        <v>52.5839233398438</v>
      </c>
      <c r="L307" s="16" t="n">
        <v>-0.279370903968811</v>
      </c>
      <c r="M307" s="16" t="s">
        <v>98</v>
      </c>
      <c r="N307" s="16" t="s">
        <v>1965</v>
      </c>
      <c r="O307" s="16"/>
      <c r="P307" s="16" t="s">
        <v>1970</v>
      </c>
      <c r="Q307" s="16" t="s">
        <v>100</v>
      </c>
    </row>
    <row r="308" customFormat="false" ht="15" hidden="false" customHeight="false" outlineLevel="0" collapsed="false">
      <c r="A308" s="16" t="n">
        <v>40663</v>
      </c>
      <c r="B308" s="16" t="s">
        <v>1971</v>
      </c>
      <c r="C308" s="16" t="s">
        <v>1972</v>
      </c>
      <c r="D308" s="16" t="s">
        <v>23</v>
      </c>
      <c r="E308" s="16" t="s">
        <v>94</v>
      </c>
      <c r="F308" s="16" t="s">
        <v>1973</v>
      </c>
      <c r="G308" s="16" t="s">
        <v>1974</v>
      </c>
      <c r="H308" s="16" t="s">
        <v>429</v>
      </c>
      <c r="I308" s="16" t="s">
        <v>32</v>
      </c>
      <c r="J308" s="16" t="s">
        <v>1975</v>
      </c>
      <c r="K308" s="16" t="n">
        <v>52.5616683959961</v>
      </c>
      <c r="L308" s="16" t="n">
        <v>1.71799445152283</v>
      </c>
      <c r="M308" s="16" t="s">
        <v>98</v>
      </c>
      <c r="N308" s="16" t="s">
        <v>1976</v>
      </c>
      <c r="O308" s="16" t="s">
        <v>1977</v>
      </c>
      <c r="P308" s="16" t="s">
        <v>1978</v>
      </c>
      <c r="Q308" s="16" t="s">
        <v>100</v>
      </c>
    </row>
    <row r="309" customFormat="false" ht="15" hidden="false" customHeight="false" outlineLevel="0" collapsed="false">
      <c r="A309" s="16" t="n">
        <v>40715</v>
      </c>
      <c r="B309" s="16" t="s">
        <v>1979</v>
      </c>
      <c r="C309" s="16" t="s">
        <v>1980</v>
      </c>
      <c r="D309" s="16" t="s">
        <v>23</v>
      </c>
      <c r="E309" s="16" t="s">
        <v>94</v>
      </c>
      <c r="F309" s="16" t="s">
        <v>1981</v>
      </c>
      <c r="G309" s="16" t="s">
        <v>788</v>
      </c>
      <c r="H309" s="16" t="s">
        <v>254</v>
      </c>
      <c r="I309" s="16" t="s">
        <v>32</v>
      </c>
      <c r="J309" s="16" t="s">
        <v>1982</v>
      </c>
      <c r="K309" s="16" t="n">
        <v>52.2316627502441</v>
      </c>
      <c r="L309" s="16" t="n">
        <v>0.709190189838409</v>
      </c>
      <c r="M309" s="16" t="s">
        <v>98</v>
      </c>
      <c r="N309" s="16" t="s">
        <v>1983</v>
      </c>
      <c r="O309" s="16"/>
      <c r="P309" s="16" t="s">
        <v>1984</v>
      </c>
      <c r="Q309" s="16" t="s">
        <v>100</v>
      </c>
    </row>
    <row r="310" customFormat="false" ht="15" hidden="false" customHeight="false" outlineLevel="0" collapsed="false">
      <c r="A310" s="16" t="n">
        <v>40719</v>
      </c>
      <c r="B310" s="16" t="s">
        <v>1985</v>
      </c>
      <c r="C310" s="16" t="s">
        <v>1986</v>
      </c>
      <c r="D310" s="16" t="s">
        <v>23</v>
      </c>
      <c r="E310" s="16" t="s">
        <v>94</v>
      </c>
      <c r="F310" s="16" t="s">
        <v>1987</v>
      </c>
      <c r="G310" s="16" t="s">
        <v>197</v>
      </c>
      <c r="H310" s="16" t="s">
        <v>157</v>
      </c>
      <c r="I310" s="16" t="s">
        <v>32</v>
      </c>
      <c r="J310" s="16" t="s">
        <v>1988</v>
      </c>
      <c r="K310" s="16" t="n">
        <v>52.1751327514649</v>
      </c>
      <c r="L310" s="16" t="n">
        <v>0.140753239393234</v>
      </c>
      <c r="M310" s="16" t="s">
        <v>98</v>
      </c>
      <c r="N310" s="16" t="s">
        <v>1989</v>
      </c>
      <c r="O310" s="16" t="s">
        <v>1990</v>
      </c>
      <c r="P310" s="16" t="s">
        <v>1991</v>
      </c>
      <c r="Q310" s="16" t="s">
        <v>100</v>
      </c>
    </row>
    <row r="311" customFormat="false" ht="15" hidden="false" customHeight="false" outlineLevel="0" collapsed="false">
      <c r="A311" s="16" t="n">
        <v>40720</v>
      </c>
      <c r="B311" s="16" t="s">
        <v>1992</v>
      </c>
      <c r="C311" s="16" t="s">
        <v>1993</v>
      </c>
      <c r="D311" s="16" t="s">
        <v>23</v>
      </c>
      <c r="E311" s="16" t="s">
        <v>94</v>
      </c>
      <c r="F311" s="16" t="s">
        <v>1987</v>
      </c>
      <c r="G311" s="16" t="s">
        <v>197</v>
      </c>
      <c r="H311" s="16" t="s">
        <v>157</v>
      </c>
      <c r="I311" s="16" t="s">
        <v>32</v>
      </c>
      <c r="J311" s="16" t="s">
        <v>1988</v>
      </c>
      <c r="K311" s="16" t="n">
        <v>52.1732635498047</v>
      </c>
      <c r="L311" s="16" t="n">
        <v>0.139422863721848</v>
      </c>
      <c r="M311" s="16" t="s">
        <v>98</v>
      </c>
      <c r="N311" s="16" t="s">
        <v>1994</v>
      </c>
      <c r="O311" s="16" t="s">
        <v>1990</v>
      </c>
      <c r="P311" s="16" t="s">
        <v>1995</v>
      </c>
      <c r="Q311" s="16" t="s">
        <v>100</v>
      </c>
    </row>
    <row r="312" customFormat="false" ht="15" hidden="false" customHeight="false" outlineLevel="0" collapsed="false">
      <c r="A312" s="16" t="n">
        <v>40722</v>
      </c>
      <c r="B312" s="16" t="s">
        <v>1996</v>
      </c>
      <c r="C312" s="16" t="s">
        <v>1997</v>
      </c>
      <c r="D312" s="16" t="s">
        <v>23</v>
      </c>
      <c r="E312" s="16" t="s">
        <v>94</v>
      </c>
      <c r="F312" s="16" t="s">
        <v>1987</v>
      </c>
      <c r="G312" s="16" t="s">
        <v>124</v>
      </c>
      <c r="H312" s="16" t="s">
        <v>57</v>
      </c>
      <c r="I312" s="16" t="s">
        <v>32</v>
      </c>
      <c r="J312" s="16" t="s">
        <v>1998</v>
      </c>
      <c r="K312" s="16" t="n">
        <v>52.0415191650391</v>
      </c>
      <c r="L312" s="16" t="n">
        <v>-0.0223998874425888</v>
      </c>
      <c r="M312" s="16" t="s">
        <v>100</v>
      </c>
      <c r="N312" s="16"/>
      <c r="O312" s="16"/>
      <c r="P312" s="16"/>
      <c r="Q312" s="16" t="s">
        <v>100</v>
      </c>
    </row>
    <row r="313" customFormat="false" ht="15" hidden="false" customHeight="false" outlineLevel="0" collapsed="false">
      <c r="A313" s="16" t="n">
        <v>40723</v>
      </c>
      <c r="B313" s="16" t="s">
        <v>1999</v>
      </c>
      <c r="C313" s="16" t="s">
        <v>2000</v>
      </c>
      <c r="D313" s="16" t="s">
        <v>23</v>
      </c>
      <c r="E313" s="16" t="s">
        <v>94</v>
      </c>
      <c r="F313" s="16" t="s">
        <v>1987</v>
      </c>
      <c r="G313" s="16" t="s">
        <v>2001</v>
      </c>
      <c r="H313" s="16" t="s">
        <v>49</v>
      </c>
      <c r="I313" s="16" t="s">
        <v>32</v>
      </c>
      <c r="J313" s="16" t="s">
        <v>2002</v>
      </c>
      <c r="K313" s="16" t="n">
        <v>52.0235900878906</v>
      </c>
      <c r="L313" s="16" t="n">
        <v>0.256292521953583</v>
      </c>
      <c r="M313" s="16" t="s">
        <v>100</v>
      </c>
      <c r="N313" s="16"/>
      <c r="O313" s="16"/>
      <c r="P313" s="16"/>
      <c r="Q313" s="16" t="s">
        <v>100</v>
      </c>
    </row>
    <row r="314" customFormat="false" ht="15" hidden="false" customHeight="false" outlineLevel="0" collapsed="false">
      <c r="A314" s="16" t="n">
        <v>40768</v>
      </c>
      <c r="B314" s="16" t="s">
        <v>2003</v>
      </c>
      <c r="C314" s="16" t="s">
        <v>2004</v>
      </c>
      <c r="D314" s="16" t="s">
        <v>23</v>
      </c>
      <c r="E314" s="16" t="s">
        <v>94</v>
      </c>
      <c r="F314" s="16" t="s">
        <v>69</v>
      </c>
      <c r="G314" s="16" t="s">
        <v>2005</v>
      </c>
      <c r="H314" s="16" t="s">
        <v>310</v>
      </c>
      <c r="I314" s="16" t="s">
        <v>30</v>
      </c>
      <c r="J314" s="16" t="s">
        <v>2006</v>
      </c>
      <c r="K314" s="16" t="n">
        <v>50.976676940918</v>
      </c>
      <c r="L314" s="16" t="n">
        <v>-3.22739934921265</v>
      </c>
      <c r="M314" s="16" t="s">
        <v>98</v>
      </c>
      <c r="N314" s="16" t="s">
        <v>2007</v>
      </c>
      <c r="O314" s="16"/>
      <c r="P314" s="16" t="s">
        <v>2008</v>
      </c>
      <c r="Q314" s="16" t="s">
        <v>100</v>
      </c>
    </row>
    <row r="315" customFormat="false" ht="15" hidden="false" customHeight="false" outlineLevel="0" collapsed="false">
      <c r="A315" s="16" t="n">
        <v>40769</v>
      </c>
      <c r="B315" s="16" t="s">
        <v>2009</v>
      </c>
      <c r="C315" s="16" t="s">
        <v>2010</v>
      </c>
      <c r="D315" s="16" t="s">
        <v>23</v>
      </c>
      <c r="E315" s="16" t="s">
        <v>94</v>
      </c>
      <c r="F315" s="16" t="s">
        <v>69</v>
      </c>
      <c r="G315" s="16" t="s">
        <v>2011</v>
      </c>
      <c r="H315" s="16" t="s">
        <v>310</v>
      </c>
      <c r="I315" s="16" t="s">
        <v>30</v>
      </c>
      <c r="J315" s="16" t="s">
        <v>2012</v>
      </c>
      <c r="K315" s="16" t="n">
        <v>50.875</v>
      </c>
      <c r="L315" s="16" t="n">
        <v>-2.95235943794251</v>
      </c>
      <c r="M315" s="16" t="s">
        <v>98</v>
      </c>
      <c r="N315" s="16" t="s">
        <v>2013</v>
      </c>
      <c r="O315" s="16"/>
      <c r="P315" s="16" t="s">
        <v>2014</v>
      </c>
      <c r="Q315" s="16" t="s">
        <v>100</v>
      </c>
    </row>
    <row r="316" customFormat="false" ht="15" hidden="false" customHeight="false" outlineLevel="0" collapsed="false">
      <c r="A316" s="16" t="n">
        <v>40771</v>
      </c>
      <c r="B316" s="16" t="s">
        <v>2015</v>
      </c>
      <c r="C316" s="16" t="s">
        <v>2016</v>
      </c>
      <c r="D316" s="16" t="s">
        <v>23</v>
      </c>
      <c r="E316" s="16" t="s">
        <v>94</v>
      </c>
      <c r="F316" s="16" t="s">
        <v>69</v>
      </c>
      <c r="G316" s="16" t="s">
        <v>2017</v>
      </c>
      <c r="H316" s="16" t="s">
        <v>310</v>
      </c>
      <c r="I316" s="16" t="s">
        <v>30</v>
      </c>
      <c r="J316" s="16" t="s">
        <v>2018</v>
      </c>
      <c r="K316" s="16" t="n">
        <v>51.2001190185547</v>
      </c>
      <c r="L316" s="16" t="n">
        <v>-3.46188402175903</v>
      </c>
      <c r="M316" s="16" t="s">
        <v>98</v>
      </c>
      <c r="N316" s="16" t="s">
        <v>2019</v>
      </c>
      <c r="O316" s="16"/>
      <c r="P316" s="16" t="s">
        <v>2020</v>
      </c>
      <c r="Q316" s="16" t="s">
        <v>100</v>
      </c>
    </row>
    <row r="317" customFormat="false" ht="15" hidden="false" customHeight="false" outlineLevel="0" collapsed="false">
      <c r="A317" s="16" t="n">
        <v>40772</v>
      </c>
      <c r="B317" s="16" t="s">
        <v>2021</v>
      </c>
      <c r="C317" s="16" t="s">
        <v>2022</v>
      </c>
      <c r="D317" s="16" t="s">
        <v>23</v>
      </c>
      <c r="E317" s="16" t="s">
        <v>94</v>
      </c>
      <c r="F317" s="16" t="s">
        <v>69</v>
      </c>
      <c r="G317" s="16" t="s">
        <v>309</v>
      </c>
      <c r="H317" s="16" t="s">
        <v>310</v>
      </c>
      <c r="I317" s="16" t="s">
        <v>30</v>
      </c>
      <c r="J317" s="16" t="s">
        <v>2023</v>
      </c>
      <c r="K317" s="16" t="n">
        <v>51.1628952026367</v>
      </c>
      <c r="L317" s="16" t="n">
        <v>-3.32319498062134</v>
      </c>
      <c r="M317" s="16" t="s">
        <v>98</v>
      </c>
      <c r="N317" s="16" t="s">
        <v>2024</v>
      </c>
      <c r="O317" s="16"/>
      <c r="P317" s="16" t="s">
        <v>2025</v>
      </c>
      <c r="Q317" s="16" t="s">
        <v>100</v>
      </c>
    </row>
    <row r="318" customFormat="false" ht="15" hidden="false" customHeight="false" outlineLevel="0" collapsed="false">
      <c r="A318" s="16" t="n">
        <v>40773</v>
      </c>
      <c r="B318" s="16" t="s">
        <v>2026</v>
      </c>
      <c r="C318" s="16" t="s">
        <v>2027</v>
      </c>
      <c r="D318" s="16" t="s">
        <v>23</v>
      </c>
      <c r="E318" s="16" t="s">
        <v>94</v>
      </c>
      <c r="F318" s="16" t="s">
        <v>69</v>
      </c>
      <c r="G318" s="16" t="s">
        <v>2028</v>
      </c>
      <c r="H318" s="16" t="s">
        <v>310</v>
      </c>
      <c r="I318" s="16" t="s">
        <v>30</v>
      </c>
      <c r="J318" s="16" t="s">
        <v>2029</v>
      </c>
      <c r="K318" s="16" t="n">
        <v>51.1905784606934</v>
      </c>
      <c r="L318" s="16" t="n">
        <v>-2.56247186660767</v>
      </c>
      <c r="M318" s="16" t="s">
        <v>98</v>
      </c>
      <c r="N318" s="16" t="s">
        <v>2030</v>
      </c>
      <c r="O318" s="16"/>
      <c r="P318" s="16" t="s">
        <v>2031</v>
      </c>
      <c r="Q318" s="16" t="s">
        <v>100</v>
      </c>
    </row>
    <row r="319" customFormat="false" ht="15" hidden="false" customHeight="false" outlineLevel="0" collapsed="false">
      <c r="A319" s="16" t="n">
        <v>40774</v>
      </c>
      <c r="B319" s="16" t="s">
        <v>2032</v>
      </c>
      <c r="C319" s="16" t="s">
        <v>2033</v>
      </c>
      <c r="D319" s="16" t="s">
        <v>23</v>
      </c>
      <c r="E319" s="16" t="s">
        <v>94</v>
      </c>
      <c r="F319" s="16" t="s">
        <v>69</v>
      </c>
      <c r="G319" s="16" t="s">
        <v>2034</v>
      </c>
      <c r="H319" s="16" t="s">
        <v>310</v>
      </c>
      <c r="I319" s="16" t="s">
        <v>30</v>
      </c>
      <c r="J319" s="16" t="s">
        <v>2035</v>
      </c>
      <c r="K319" s="16" t="n">
        <v>51.1604843139649</v>
      </c>
      <c r="L319" s="16" t="n">
        <v>-2.69921731948853</v>
      </c>
      <c r="M319" s="16" t="s">
        <v>98</v>
      </c>
      <c r="N319" s="16" t="s">
        <v>2036</v>
      </c>
      <c r="O319" s="16"/>
      <c r="P319" s="16" t="s">
        <v>2037</v>
      </c>
      <c r="Q319" s="16" t="s">
        <v>100</v>
      </c>
    </row>
    <row r="320" customFormat="false" ht="15" hidden="false" customHeight="false" outlineLevel="0" collapsed="false">
      <c r="A320" s="16" t="n">
        <v>40775</v>
      </c>
      <c r="B320" s="16" t="s">
        <v>2038</v>
      </c>
      <c r="C320" s="16" t="s">
        <v>2039</v>
      </c>
      <c r="D320" s="16" t="s">
        <v>23</v>
      </c>
      <c r="E320" s="16" t="s">
        <v>94</v>
      </c>
      <c r="F320" s="16" t="s">
        <v>69</v>
      </c>
      <c r="G320" s="16" t="s">
        <v>2040</v>
      </c>
      <c r="H320" s="16" t="s">
        <v>310</v>
      </c>
      <c r="I320" s="16" t="s">
        <v>30</v>
      </c>
      <c r="J320" s="16" t="s">
        <v>2041</v>
      </c>
      <c r="K320" s="16" t="n">
        <v>50.8801231384277</v>
      </c>
      <c r="L320" s="16" t="n">
        <v>-2.79792380332947</v>
      </c>
      <c r="M320" s="16" t="s">
        <v>98</v>
      </c>
      <c r="N320" s="16" t="s">
        <v>2042</v>
      </c>
      <c r="O320" s="16"/>
      <c r="P320" s="16" t="s">
        <v>2043</v>
      </c>
      <c r="Q320" s="16" t="s">
        <v>100</v>
      </c>
    </row>
    <row r="321" customFormat="false" ht="15" hidden="false" customHeight="false" outlineLevel="0" collapsed="false">
      <c r="A321" s="16" t="n">
        <v>40776</v>
      </c>
      <c r="B321" s="16" t="s">
        <v>2044</v>
      </c>
      <c r="C321" s="16" t="s">
        <v>2045</v>
      </c>
      <c r="D321" s="16" t="s">
        <v>23</v>
      </c>
      <c r="E321" s="16" t="s">
        <v>94</v>
      </c>
      <c r="F321" s="16" t="s">
        <v>69</v>
      </c>
      <c r="G321" s="16" t="s">
        <v>2046</v>
      </c>
      <c r="H321" s="16" t="s">
        <v>310</v>
      </c>
      <c r="I321" s="16" t="s">
        <v>30</v>
      </c>
      <c r="J321" s="16" t="s">
        <v>2047</v>
      </c>
      <c r="K321" s="16" t="n">
        <v>50.9520950317383</v>
      </c>
      <c r="L321" s="16" t="n">
        <v>-2.79884266853333</v>
      </c>
      <c r="M321" s="16" t="s">
        <v>98</v>
      </c>
      <c r="N321" s="16" t="s">
        <v>2048</v>
      </c>
      <c r="O321" s="16"/>
      <c r="P321" s="16" t="s">
        <v>2049</v>
      </c>
      <c r="Q321" s="16" t="s">
        <v>100</v>
      </c>
    </row>
    <row r="322" customFormat="false" ht="15" hidden="false" customHeight="false" outlineLevel="0" collapsed="false">
      <c r="A322" s="16" t="n">
        <v>40777</v>
      </c>
      <c r="B322" s="16" t="s">
        <v>2050</v>
      </c>
      <c r="C322" s="16" t="s">
        <v>2051</v>
      </c>
      <c r="D322" s="16" t="s">
        <v>23</v>
      </c>
      <c r="E322" s="16" t="s">
        <v>94</v>
      </c>
      <c r="F322" s="16" t="s">
        <v>69</v>
      </c>
      <c r="G322" s="16" t="s">
        <v>2052</v>
      </c>
      <c r="H322" s="16" t="s">
        <v>310</v>
      </c>
      <c r="I322" s="16" t="s">
        <v>30</v>
      </c>
      <c r="J322" s="16" t="s">
        <v>2053</v>
      </c>
      <c r="K322" s="16" t="n">
        <v>51.0587577819824</v>
      </c>
      <c r="L322" s="16" t="n">
        <v>-2.4181547164917</v>
      </c>
      <c r="M322" s="16" t="s">
        <v>98</v>
      </c>
      <c r="N322" s="16" t="s">
        <v>2054</v>
      </c>
      <c r="O322" s="16"/>
      <c r="P322" s="16" t="s">
        <v>2055</v>
      </c>
      <c r="Q322" s="16" t="s">
        <v>100</v>
      </c>
    </row>
    <row r="323" customFormat="false" ht="15" hidden="false" customHeight="false" outlineLevel="0" collapsed="false">
      <c r="A323" s="16" t="n">
        <v>40778</v>
      </c>
      <c r="B323" s="16" t="s">
        <v>2056</v>
      </c>
      <c r="C323" s="16" t="s">
        <v>2057</v>
      </c>
      <c r="D323" s="16" t="s">
        <v>23</v>
      </c>
      <c r="E323" s="16" t="s">
        <v>94</v>
      </c>
      <c r="F323" s="16" t="s">
        <v>69</v>
      </c>
      <c r="G323" s="16" t="s">
        <v>309</v>
      </c>
      <c r="H323" s="16" t="s">
        <v>310</v>
      </c>
      <c r="I323" s="16" t="s">
        <v>30</v>
      </c>
      <c r="J323" s="16" t="s">
        <v>2058</v>
      </c>
      <c r="K323" s="16" t="n">
        <v>51.0375900268555</v>
      </c>
      <c r="L323" s="16" t="n">
        <v>-3.18219757080078</v>
      </c>
      <c r="M323" s="16" t="s">
        <v>98</v>
      </c>
      <c r="N323" s="16" t="s">
        <v>2059</v>
      </c>
      <c r="O323" s="16"/>
      <c r="P323" s="16" t="s">
        <v>2060</v>
      </c>
      <c r="Q323" s="16" t="s">
        <v>100</v>
      </c>
    </row>
    <row r="324" customFormat="false" ht="15" hidden="false" customHeight="false" outlineLevel="0" collapsed="false">
      <c r="A324" s="16" t="n">
        <v>40779</v>
      </c>
      <c r="B324" s="16" t="s">
        <v>2061</v>
      </c>
      <c r="C324" s="16" t="s">
        <v>2062</v>
      </c>
      <c r="D324" s="16" t="s">
        <v>23</v>
      </c>
      <c r="E324" s="16" t="s">
        <v>94</v>
      </c>
      <c r="F324" s="16" t="s">
        <v>69</v>
      </c>
      <c r="G324" s="16" t="s">
        <v>2063</v>
      </c>
      <c r="H324" s="16" t="s">
        <v>310</v>
      </c>
      <c r="I324" s="16" t="s">
        <v>30</v>
      </c>
      <c r="J324" s="16" t="s">
        <v>2064</v>
      </c>
      <c r="K324" s="16" t="n">
        <v>51.2373199462891</v>
      </c>
      <c r="L324" s="16" t="n">
        <v>-2.31155443191528</v>
      </c>
      <c r="M324" s="16" t="s">
        <v>98</v>
      </c>
      <c r="N324" s="16" t="s">
        <v>2065</v>
      </c>
      <c r="O324" s="16"/>
      <c r="P324" s="16" t="s">
        <v>2066</v>
      </c>
      <c r="Q324" s="16" t="s">
        <v>100</v>
      </c>
    </row>
    <row r="325" customFormat="false" ht="15" hidden="false" customHeight="false" outlineLevel="0" collapsed="false">
      <c r="A325" s="16" t="n">
        <v>40782</v>
      </c>
      <c r="B325" s="16" t="s">
        <v>2067</v>
      </c>
      <c r="C325" s="16" t="s">
        <v>2068</v>
      </c>
      <c r="D325" s="16" t="s">
        <v>23</v>
      </c>
      <c r="E325" s="16" t="s">
        <v>94</v>
      </c>
      <c r="F325" s="16" t="s">
        <v>70</v>
      </c>
      <c r="G325" s="16" t="s">
        <v>230</v>
      </c>
      <c r="H325" s="16" t="s">
        <v>48</v>
      </c>
      <c r="I325" s="16" t="s">
        <v>30</v>
      </c>
      <c r="J325" s="16" t="s">
        <v>2069</v>
      </c>
      <c r="K325" s="16" t="n">
        <v>50.7167091369629</v>
      </c>
      <c r="L325" s="16" t="n">
        <v>-3.50666642189026</v>
      </c>
      <c r="M325" s="16" t="s">
        <v>98</v>
      </c>
      <c r="N325" s="16" t="s">
        <v>2070</v>
      </c>
      <c r="O325" s="16" t="s">
        <v>2071</v>
      </c>
      <c r="P325" s="16" t="s">
        <v>2072</v>
      </c>
      <c r="Q325" s="16" t="s">
        <v>100</v>
      </c>
    </row>
    <row r="326" customFormat="false" ht="15" hidden="false" customHeight="false" outlineLevel="0" collapsed="false">
      <c r="A326" s="16" t="n">
        <v>40783</v>
      </c>
      <c r="B326" s="16" t="s">
        <v>2073</v>
      </c>
      <c r="C326" s="16" t="s">
        <v>2074</v>
      </c>
      <c r="D326" s="16" t="s">
        <v>23</v>
      </c>
      <c r="E326" s="16" t="s">
        <v>94</v>
      </c>
      <c r="F326" s="16" t="s">
        <v>70</v>
      </c>
      <c r="G326" s="16" t="s">
        <v>230</v>
      </c>
      <c r="H326" s="16" t="s">
        <v>48</v>
      </c>
      <c r="I326" s="16" t="s">
        <v>30</v>
      </c>
      <c r="J326" s="16" t="s">
        <v>2075</v>
      </c>
      <c r="K326" s="16" t="n">
        <v>50.7243919372559</v>
      </c>
      <c r="L326" s="16" t="n">
        <v>-3.51401114463806</v>
      </c>
      <c r="M326" s="16" t="s">
        <v>98</v>
      </c>
      <c r="N326" s="16" t="s">
        <v>2070</v>
      </c>
      <c r="O326" s="16"/>
      <c r="P326" s="16" t="s">
        <v>2076</v>
      </c>
      <c r="Q326" s="16" t="s">
        <v>100</v>
      </c>
    </row>
    <row r="327" customFormat="false" ht="15" hidden="false" customHeight="false" outlineLevel="0" collapsed="false">
      <c r="A327" s="16" t="n">
        <v>40787</v>
      </c>
      <c r="B327" s="16" t="s">
        <v>2077</v>
      </c>
      <c r="C327" s="16" t="s">
        <v>2078</v>
      </c>
      <c r="D327" s="16" t="s">
        <v>23</v>
      </c>
      <c r="E327" s="16" t="s">
        <v>94</v>
      </c>
      <c r="F327" s="16" t="s">
        <v>70</v>
      </c>
      <c r="G327" s="16" t="s">
        <v>2079</v>
      </c>
      <c r="H327" s="16" t="s">
        <v>48</v>
      </c>
      <c r="I327" s="16" t="s">
        <v>30</v>
      </c>
      <c r="J327" s="16" t="s">
        <v>2080</v>
      </c>
      <c r="K327" s="16" t="n">
        <v>50.7419204711914</v>
      </c>
      <c r="L327" s="16" t="n">
        <v>-3.99718832969666</v>
      </c>
      <c r="M327" s="16" t="s">
        <v>98</v>
      </c>
      <c r="N327" s="16" t="s">
        <v>2081</v>
      </c>
      <c r="O327" s="16"/>
      <c r="P327" s="16"/>
      <c r="Q327" s="16" t="s">
        <v>100</v>
      </c>
    </row>
    <row r="328" customFormat="false" ht="15" hidden="false" customHeight="false" outlineLevel="0" collapsed="false">
      <c r="A328" s="16" t="n">
        <v>40788</v>
      </c>
      <c r="B328" s="16" t="s">
        <v>2082</v>
      </c>
      <c r="C328" s="16" t="s">
        <v>2083</v>
      </c>
      <c r="D328" s="16" t="s">
        <v>23</v>
      </c>
      <c r="E328" s="16" t="s">
        <v>94</v>
      </c>
      <c r="F328" s="16" t="s">
        <v>70</v>
      </c>
      <c r="G328" s="16" t="s">
        <v>2084</v>
      </c>
      <c r="H328" s="16" t="s">
        <v>48</v>
      </c>
      <c r="I328" s="16" t="s">
        <v>30</v>
      </c>
      <c r="J328" s="16" t="s">
        <v>2085</v>
      </c>
      <c r="K328" s="16" t="n">
        <v>50.7501182556152</v>
      </c>
      <c r="L328" s="16" t="n">
        <v>-3.29156088829041</v>
      </c>
      <c r="M328" s="16" t="s">
        <v>98</v>
      </c>
      <c r="N328" s="16" t="s">
        <v>2086</v>
      </c>
      <c r="O328" s="16"/>
      <c r="P328" s="16"/>
      <c r="Q328" s="16" t="s">
        <v>100</v>
      </c>
    </row>
    <row r="329" customFormat="false" ht="15" hidden="false" customHeight="false" outlineLevel="0" collapsed="false">
      <c r="A329" s="16" t="n">
        <v>40790</v>
      </c>
      <c r="B329" s="16" t="s">
        <v>2087</v>
      </c>
      <c r="C329" s="16" t="s">
        <v>2088</v>
      </c>
      <c r="D329" s="16" t="s">
        <v>23</v>
      </c>
      <c r="E329" s="16" t="s">
        <v>94</v>
      </c>
      <c r="F329" s="16" t="s">
        <v>70</v>
      </c>
      <c r="G329" s="16" t="s">
        <v>2089</v>
      </c>
      <c r="H329" s="16" t="s">
        <v>48</v>
      </c>
      <c r="I329" s="16" t="s">
        <v>30</v>
      </c>
      <c r="J329" s="16" t="s">
        <v>2090</v>
      </c>
      <c r="K329" s="16" t="n">
        <v>50.9094123840332</v>
      </c>
      <c r="L329" s="16" t="n">
        <v>-3.4929530620575</v>
      </c>
      <c r="M329" s="16" t="s">
        <v>98</v>
      </c>
      <c r="N329" s="16" t="s">
        <v>2091</v>
      </c>
      <c r="O329" s="16"/>
      <c r="P329" s="16"/>
      <c r="Q329" s="16" t="s">
        <v>100</v>
      </c>
    </row>
    <row r="330" customFormat="false" ht="15" hidden="false" customHeight="false" outlineLevel="0" collapsed="false">
      <c r="A330" s="16" t="n">
        <v>40791</v>
      </c>
      <c r="B330" s="16" t="s">
        <v>2092</v>
      </c>
      <c r="C330" s="16" t="s">
        <v>2093</v>
      </c>
      <c r="D330" s="16" t="s">
        <v>23</v>
      </c>
      <c r="E330" s="16" t="s">
        <v>94</v>
      </c>
      <c r="F330" s="16" t="s">
        <v>70</v>
      </c>
      <c r="G330" s="16" t="s">
        <v>2094</v>
      </c>
      <c r="H330" s="16" t="s">
        <v>48</v>
      </c>
      <c r="I330" s="16" t="s">
        <v>30</v>
      </c>
      <c r="J330" s="16" t="s">
        <v>2095</v>
      </c>
      <c r="K330" s="16" t="n">
        <v>50.7949333190918</v>
      </c>
      <c r="L330" s="16" t="n">
        <v>-3.18656301498413</v>
      </c>
      <c r="M330" s="16" t="s">
        <v>98</v>
      </c>
      <c r="N330" s="16" t="s">
        <v>2096</v>
      </c>
      <c r="O330" s="16"/>
      <c r="P330" s="16"/>
      <c r="Q330" s="16" t="s">
        <v>100</v>
      </c>
    </row>
    <row r="331" customFormat="false" ht="15" hidden="false" customHeight="false" outlineLevel="0" collapsed="false">
      <c r="A331" s="16" t="n">
        <v>40793</v>
      </c>
      <c r="B331" s="16" t="s">
        <v>2097</v>
      </c>
      <c r="C331" s="16" t="s">
        <v>2098</v>
      </c>
      <c r="D331" s="16" t="s">
        <v>23</v>
      </c>
      <c r="E331" s="16" t="s">
        <v>94</v>
      </c>
      <c r="F331" s="16" t="s">
        <v>70</v>
      </c>
      <c r="G331" s="16" t="s">
        <v>2099</v>
      </c>
      <c r="H331" s="16" t="s">
        <v>48</v>
      </c>
      <c r="I331" s="16" t="s">
        <v>30</v>
      </c>
      <c r="J331" s="16" t="s">
        <v>2100</v>
      </c>
      <c r="K331" s="16" t="n">
        <v>50.7838973999023</v>
      </c>
      <c r="L331" s="16" t="n">
        <v>-2.99625468254089</v>
      </c>
      <c r="M331" s="16" t="s">
        <v>98</v>
      </c>
      <c r="N331" s="16" t="s">
        <v>2101</v>
      </c>
      <c r="O331" s="16"/>
      <c r="P331" s="16"/>
      <c r="Q331" s="16" t="s">
        <v>100</v>
      </c>
    </row>
    <row r="332" customFormat="false" ht="15" hidden="false" customHeight="false" outlineLevel="0" collapsed="false">
      <c r="A332" s="16" t="n">
        <v>40794</v>
      </c>
      <c r="B332" s="16" t="s">
        <v>2102</v>
      </c>
      <c r="C332" s="16" t="s">
        <v>2103</v>
      </c>
      <c r="D332" s="16" t="s">
        <v>23</v>
      </c>
      <c r="E332" s="16" t="s">
        <v>94</v>
      </c>
      <c r="F332" s="16" t="s">
        <v>70</v>
      </c>
      <c r="G332" s="16" t="s">
        <v>2104</v>
      </c>
      <c r="H332" s="16" t="s">
        <v>48</v>
      </c>
      <c r="I332" s="16" t="s">
        <v>30</v>
      </c>
      <c r="J332" s="16" t="s">
        <v>2105</v>
      </c>
      <c r="K332" s="16" t="n">
        <v>50.6205520629883</v>
      </c>
      <c r="L332" s="16" t="n">
        <v>-3.40159463882446</v>
      </c>
      <c r="M332" s="16" t="s">
        <v>98</v>
      </c>
      <c r="N332" s="16" t="s">
        <v>2106</v>
      </c>
      <c r="O332" s="16"/>
      <c r="P332" s="16"/>
      <c r="Q332" s="16" t="s">
        <v>100</v>
      </c>
    </row>
    <row r="333" customFormat="false" ht="15" hidden="false" customHeight="false" outlineLevel="0" collapsed="false">
      <c r="A333" s="16" t="n">
        <v>40795</v>
      </c>
      <c r="B333" s="16" t="s">
        <v>2107</v>
      </c>
      <c r="C333" s="16" t="s">
        <v>2108</v>
      </c>
      <c r="D333" s="16" t="s">
        <v>23</v>
      </c>
      <c r="E333" s="16" t="s">
        <v>94</v>
      </c>
      <c r="F333" s="16" t="s">
        <v>70</v>
      </c>
      <c r="G333" s="16" t="s">
        <v>2109</v>
      </c>
      <c r="H333" s="16" t="s">
        <v>48</v>
      </c>
      <c r="I333" s="16" t="s">
        <v>30</v>
      </c>
      <c r="J333" s="16" t="s">
        <v>2110</v>
      </c>
      <c r="K333" s="16" t="n">
        <v>50.6816139221191</v>
      </c>
      <c r="L333" s="16" t="n">
        <v>-3.23964166641235</v>
      </c>
      <c r="M333" s="16" t="s">
        <v>98</v>
      </c>
      <c r="N333" s="16"/>
      <c r="O333" s="16"/>
      <c r="P333" s="16"/>
      <c r="Q333" s="16" t="s">
        <v>100</v>
      </c>
    </row>
    <row r="334" customFormat="false" ht="15" hidden="false" customHeight="false" outlineLevel="0" collapsed="false">
      <c r="A334" s="16" t="n">
        <v>40804</v>
      </c>
      <c r="B334" s="16" t="s">
        <v>2111</v>
      </c>
      <c r="C334" s="16" t="s">
        <v>2112</v>
      </c>
      <c r="D334" s="16" t="s">
        <v>23</v>
      </c>
      <c r="E334" s="16" t="s">
        <v>94</v>
      </c>
      <c r="F334" s="16" t="s">
        <v>2113</v>
      </c>
      <c r="G334" s="16" t="s">
        <v>2114</v>
      </c>
      <c r="H334" s="16" t="s">
        <v>694</v>
      </c>
      <c r="I334" s="16" t="s">
        <v>36</v>
      </c>
      <c r="J334" s="16" t="s">
        <v>2115</v>
      </c>
      <c r="K334" s="16" t="n">
        <v>53.2903861999512</v>
      </c>
      <c r="L334" s="16" t="n">
        <v>-0.838197648525238</v>
      </c>
      <c r="M334" s="16" t="s">
        <v>98</v>
      </c>
      <c r="N334" s="16" t="s">
        <v>2116</v>
      </c>
      <c r="O334" s="16"/>
      <c r="P334" s="16" t="s">
        <v>2117</v>
      </c>
      <c r="Q334" s="16" t="s">
        <v>100</v>
      </c>
    </row>
    <row r="335" customFormat="false" ht="15" hidden="false" customHeight="false" outlineLevel="0" collapsed="false">
      <c r="A335" s="16" t="n">
        <v>40841</v>
      </c>
      <c r="B335" s="16" t="s">
        <v>2118</v>
      </c>
      <c r="C335" s="16" t="s">
        <v>2119</v>
      </c>
      <c r="D335" s="16" t="s">
        <v>23</v>
      </c>
      <c r="E335" s="16" t="s">
        <v>94</v>
      </c>
      <c r="F335" s="16" t="s">
        <v>2113</v>
      </c>
      <c r="G335" s="16" t="s">
        <v>1192</v>
      </c>
      <c r="H335" s="16" t="s">
        <v>694</v>
      </c>
      <c r="I335" s="16" t="s">
        <v>36</v>
      </c>
      <c r="J335" s="16" t="s">
        <v>2120</v>
      </c>
      <c r="K335" s="16" t="n">
        <v>52.9225654602051</v>
      </c>
      <c r="L335" s="16" t="n">
        <v>-1.09980165958405</v>
      </c>
      <c r="M335" s="16" t="s">
        <v>98</v>
      </c>
      <c r="N335" s="16" t="s">
        <v>2121</v>
      </c>
      <c r="O335" s="16"/>
      <c r="P335" s="16"/>
      <c r="Q335" s="16" t="s">
        <v>100</v>
      </c>
    </row>
    <row r="336" customFormat="false" ht="15" hidden="false" customHeight="false" outlineLevel="0" collapsed="false">
      <c r="A336" s="16" t="n">
        <v>40843</v>
      </c>
      <c r="B336" s="16" t="s">
        <v>2122</v>
      </c>
      <c r="C336" s="16" t="s">
        <v>2123</v>
      </c>
      <c r="D336" s="16" t="s">
        <v>23</v>
      </c>
      <c r="E336" s="16" t="s">
        <v>94</v>
      </c>
      <c r="F336" s="16" t="s">
        <v>2124</v>
      </c>
      <c r="G336" s="16" t="s">
        <v>353</v>
      </c>
      <c r="H336" s="16" t="s">
        <v>51</v>
      </c>
      <c r="I336" s="16" t="s">
        <v>29</v>
      </c>
      <c r="J336" s="16" t="s">
        <v>2125</v>
      </c>
      <c r="K336" s="16" t="n">
        <v>50.9330215454102</v>
      </c>
      <c r="L336" s="16" t="n">
        <v>-1.43508994579315</v>
      </c>
      <c r="M336" s="16" t="s">
        <v>98</v>
      </c>
      <c r="N336" s="16" t="s">
        <v>2126</v>
      </c>
      <c r="O336" s="16" t="s">
        <v>2127</v>
      </c>
      <c r="P336" s="16" t="s">
        <v>2128</v>
      </c>
      <c r="Q336" s="16" t="s">
        <v>100</v>
      </c>
    </row>
    <row r="337" customFormat="false" ht="15" hidden="false" customHeight="false" outlineLevel="0" collapsed="false">
      <c r="A337" s="16" t="n">
        <v>40847</v>
      </c>
      <c r="B337" s="16" t="s">
        <v>2129</v>
      </c>
      <c r="C337" s="16" t="s">
        <v>2130</v>
      </c>
      <c r="D337" s="16" t="s">
        <v>23</v>
      </c>
      <c r="E337" s="16" t="s">
        <v>94</v>
      </c>
      <c r="F337" s="16" t="s">
        <v>2124</v>
      </c>
      <c r="G337" s="16" t="s">
        <v>353</v>
      </c>
      <c r="H337" s="16" t="s">
        <v>51</v>
      </c>
      <c r="I337" s="16" t="s">
        <v>29</v>
      </c>
      <c r="J337" s="16" t="s">
        <v>2131</v>
      </c>
      <c r="K337" s="16" t="n">
        <v>50.9352607727051</v>
      </c>
      <c r="L337" s="16" t="n">
        <v>-1.43484938144684</v>
      </c>
      <c r="M337" s="16" t="s">
        <v>98</v>
      </c>
      <c r="N337" s="16" t="s">
        <v>2126</v>
      </c>
      <c r="O337" s="16" t="s">
        <v>2127</v>
      </c>
      <c r="P337" s="16" t="s">
        <v>2128</v>
      </c>
      <c r="Q337" s="16" t="s">
        <v>100</v>
      </c>
    </row>
    <row r="338" customFormat="false" ht="15" hidden="false" customHeight="false" outlineLevel="0" collapsed="false">
      <c r="A338" s="16" t="n">
        <v>40857</v>
      </c>
      <c r="B338" s="16" t="s">
        <v>2132</v>
      </c>
      <c r="C338" s="16" t="s">
        <v>2133</v>
      </c>
      <c r="D338" s="16" t="s">
        <v>23</v>
      </c>
      <c r="E338" s="16" t="s">
        <v>94</v>
      </c>
      <c r="F338" s="16" t="s">
        <v>2134</v>
      </c>
      <c r="G338" s="16" t="s">
        <v>761</v>
      </c>
      <c r="H338" s="16" t="s">
        <v>762</v>
      </c>
      <c r="I338" s="16" t="s">
        <v>35</v>
      </c>
      <c r="J338" s="16" t="s">
        <v>2135</v>
      </c>
      <c r="K338" s="16" t="n">
        <v>53.3797988891602</v>
      </c>
      <c r="L338" s="16" t="n">
        <v>-1.49376523494721</v>
      </c>
      <c r="M338" s="16" t="s">
        <v>98</v>
      </c>
      <c r="N338" s="16" t="s">
        <v>2136</v>
      </c>
      <c r="O338" s="16"/>
      <c r="P338" s="16" t="s">
        <v>2137</v>
      </c>
      <c r="Q338" s="16" t="s">
        <v>100</v>
      </c>
    </row>
    <row r="339" customFormat="false" ht="15" hidden="false" customHeight="false" outlineLevel="0" collapsed="false">
      <c r="A339" s="16" t="n">
        <v>40860</v>
      </c>
      <c r="B339" s="16" t="s">
        <v>2138</v>
      </c>
      <c r="C339" s="16" t="s">
        <v>2139</v>
      </c>
      <c r="D339" s="16" t="s">
        <v>23</v>
      </c>
      <c r="E339" s="16" t="s">
        <v>94</v>
      </c>
      <c r="F339" s="16" t="s">
        <v>2134</v>
      </c>
      <c r="G339" s="16" t="s">
        <v>761</v>
      </c>
      <c r="H339" s="16" t="s">
        <v>762</v>
      </c>
      <c r="I339" s="16" t="s">
        <v>35</v>
      </c>
      <c r="J339" s="16" t="s">
        <v>2140</v>
      </c>
      <c r="K339" s="16" t="n">
        <v>53.3783569335938</v>
      </c>
      <c r="L339" s="16" t="n">
        <v>-1.49331629276276</v>
      </c>
      <c r="M339" s="16" t="s">
        <v>98</v>
      </c>
      <c r="N339" s="16" t="s">
        <v>2141</v>
      </c>
      <c r="O339" s="16"/>
      <c r="P339" s="16" t="s">
        <v>2137</v>
      </c>
      <c r="Q339" s="16" t="s">
        <v>100</v>
      </c>
    </row>
    <row r="340" customFormat="false" ht="15" hidden="false" customHeight="false" outlineLevel="0" collapsed="false">
      <c r="A340" s="16" t="n">
        <v>40861</v>
      </c>
      <c r="B340" s="16" t="s">
        <v>2142</v>
      </c>
      <c r="C340" s="16" t="s">
        <v>2143</v>
      </c>
      <c r="D340" s="16" t="s">
        <v>23</v>
      </c>
      <c r="E340" s="16" t="s">
        <v>94</v>
      </c>
      <c r="F340" s="16" t="s">
        <v>2134</v>
      </c>
      <c r="G340" s="16" t="s">
        <v>761</v>
      </c>
      <c r="H340" s="16" t="s">
        <v>762</v>
      </c>
      <c r="I340" s="16" t="s">
        <v>35</v>
      </c>
      <c r="J340" s="16" t="s">
        <v>2144</v>
      </c>
      <c r="K340" s="16" t="n">
        <v>53.408878326416</v>
      </c>
      <c r="L340" s="16" t="n">
        <v>-1.46087646484375</v>
      </c>
      <c r="M340" s="16" t="s">
        <v>98</v>
      </c>
      <c r="N340" s="16" t="s">
        <v>2145</v>
      </c>
      <c r="O340" s="16"/>
      <c r="P340" s="16" t="s">
        <v>2137</v>
      </c>
      <c r="Q340" s="16" t="s">
        <v>100</v>
      </c>
    </row>
    <row r="341" customFormat="false" ht="15" hidden="false" customHeight="false" outlineLevel="0" collapsed="false">
      <c r="A341" s="16" t="n">
        <v>40865</v>
      </c>
      <c r="B341" s="16" t="s">
        <v>2146</v>
      </c>
      <c r="C341" s="16" t="s">
        <v>2147</v>
      </c>
      <c r="D341" s="16" t="s">
        <v>23</v>
      </c>
      <c r="E341" s="16" t="s">
        <v>94</v>
      </c>
      <c r="F341" s="16" t="s">
        <v>2134</v>
      </c>
      <c r="G341" s="16" t="s">
        <v>761</v>
      </c>
      <c r="H341" s="16" t="s">
        <v>762</v>
      </c>
      <c r="I341" s="16" t="s">
        <v>35</v>
      </c>
      <c r="J341" s="16" t="s">
        <v>2148</v>
      </c>
      <c r="K341" s="16" t="n">
        <v>53.3802528381348</v>
      </c>
      <c r="L341" s="16" t="n">
        <v>-1.49491739273071</v>
      </c>
      <c r="M341" s="16" t="s">
        <v>98</v>
      </c>
      <c r="N341" s="16" t="s">
        <v>2149</v>
      </c>
      <c r="O341" s="16"/>
      <c r="P341" s="16" t="s">
        <v>2137</v>
      </c>
      <c r="Q341" s="16" t="s">
        <v>100</v>
      </c>
    </row>
    <row r="342" customFormat="false" ht="15" hidden="false" customHeight="false" outlineLevel="0" collapsed="false">
      <c r="A342" s="16" t="n">
        <v>40867</v>
      </c>
      <c r="B342" s="16" t="s">
        <v>2150</v>
      </c>
      <c r="C342" s="16" t="s">
        <v>2151</v>
      </c>
      <c r="D342" s="16" t="s">
        <v>23</v>
      </c>
      <c r="E342" s="16" t="s">
        <v>94</v>
      </c>
      <c r="F342" s="16" t="s">
        <v>2152</v>
      </c>
      <c r="G342" s="16" t="s">
        <v>2153</v>
      </c>
      <c r="H342" s="16" t="s">
        <v>51</v>
      </c>
      <c r="I342" s="16" t="s">
        <v>29</v>
      </c>
      <c r="J342" s="16" t="s">
        <v>2154</v>
      </c>
      <c r="K342" s="16" t="n">
        <v>50.8001365661621</v>
      </c>
      <c r="L342" s="16" t="n">
        <v>-1.06393206119537</v>
      </c>
      <c r="M342" s="16" t="s">
        <v>98</v>
      </c>
      <c r="N342" s="16" t="s">
        <v>2155</v>
      </c>
      <c r="O342" s="16"/>
      <c r="P342" s="16" t="s">
        <v>2156</v>
      </c>
      <c r="Q342" s="16" t="s">
        <v>100</v>
      </c>
    </row>
    <row r="343" customFormat="false" ht="15" hidden="false" customHeight="false" outlineLevel="0" collapsed="false">
      <c r="A343" s="16" t="n">
        <v>40868</v>
      </c>
      <c r="B343" s="16" t="s">
        <v>2157</v>
      </c>
      <c r="C343" s="16" t="s">
        <v>2158</v>
      </c>
      <c r="D343" s="16" t="s">
        <v>23</v>
      </c>
      <c r="E343" s="16" t="s">
        <v>94</v>
      </c>
      <c r="F343" s="16" t="s">
        <v>2152</v>
      </c>
      <c r="G343" s="16" t="s">
        <v>2153</v>
      </c>
      <c r="H343" s="16" t="s">
        <v>51</v>
      </c>
      <c r="I343" s="16" t="s">
        <v>29</v>
      </c>
      <c r="J343" s="16" t="s">
        <v>2159</v>
      </c>
      <c r="K343" s="16" t="n">
        <v>50.8502998352051</v>
      </c>
      <c r="L343" s="16" t="n">
        <v>-1.06991767883301</v>
      </c>
      <c r="M343" s="16" t="s">
        <v>98</v>
      </c>
      <c r="N343" s="16" t="s">
        <v>2160</v>
      </c>
      <c r="O343" s="16"/>
      <c r="P343" s="16" t="s">
        <v>2156</v>
      </c>
      <c r="Q343" s="16" t="s">
        <v>100</v>
      </c>
    </row>
    <row r="344" customFormat="false" ht="15" hidden="false" customHeight="false" outlineLevel="0" collapsed="false">
      <c r="A344" s="16" t="n">
        <v>40870</v>
      </c>
      <c r="B344" s="16" t="s">
        <v>2161</v>
      </c>
      <c r="C344" s="16" t="s">
        <v>2162</v>
      </c>
      <c r="D344" s="16" t="s">
        <v>23</v>
      </c>
      <c r="E344" s="16" t="s">
        <v>94</v>
      </c>
      <c r="F344" s="16" t="s">
        <v>2152</v>
      </c>
      <c r="G344" s="16" t="s">
        <v>844</v>
      </c>
      <c r="H344" s="16" t="s">
        <v>51</v>
      </c>
      <c r="I344" s="16" t="s">
        <v>29</v>
      </c>
      <c r="J344" s="16" t="s">
        <v>2163</v>
      </c>
      <c r="K344" s="16" t="n">
        <v>50.7930641174316</v>
      </c>
      <c r="L344" s="16" t="n">
        <v>-1.1480667591095</v>
      </c>
      <c r="M344" s="16" t="s">
        <v>98</v>
      </c>
      <c r="N344" s="16" t="s">
        <v>2164</v>
      </c>
      <c r="O344" s="16"/>
      <c r="P344" s="16" t="s">
        <v>2165</v>
      </c>
      <c r="Q344" s="16" t="s">
        <v>100</v>
      </c>
    </row>
    <row r="345" customFormat="false" ht="15" hidden="false" customHeight="false" outlineLevel="0" collapsed="false">
      <c r="A345" s="16" t="n">
        <v>40884</v>
      </c>
      <c r="B345" s="16" t="s">
        <v>2166</v>
      </c>
      <c r="C345" s="16" t="s">
        <v>2167</v>
      </c>
      <c r="D345" s="16" t="s">
        <v>23</v>
      </c>
      <c r="E345" s="16" t="s">
        <v>94</v>
      </c>
      <c r="F345" s="16" t="s">
        <v>2168</v>
      </c>
      <c r="G345" s="16" t="s">
        <v>517</v>
      </c>
      <c r="H345" s="16" t="s">
        <v>510</v>
      </c>
      <c r="I345" s="16" t="s">
        <v>29</v>
      </c>
      <c r="J345" s="16" t="s">
        <v>2169</v>
      </c>
      <c r="K345" s="16" t="n">
        <v>51.4510231018066</v>
      </c>
      <c r="L345" s="16" t="n">
        <v>-0.959315776824951</v>
      </c>
      <c r="M345" s="16" t="s">
        <v>98</v>
      </c>
      <c r="N345" s="16" t="s">
        <v>2170</v>
      </c>
      <c r="O345" s="16" t="s">
        <v>2171</v>
      </c>
      <c r="P345" s="16" t="s">
        <v>2172</v>
      </c>
      <c r="Q345" s="16" t="s">
        <v>100</v>
      </c>
    </row>
    <row r="346" customFormat="false" ht="15" hidden="false" customHeight="false" outlineLevel="0" collapsed="false">
      <c r="A346" s="16" t="n">
        <v>40885</v>
      </c>
      <c r="B346" s="16" t="s">
        <v>2173</v>
      </c>
      <c r="C346" s="16" t="s">
        <v>2174</v>
      </c>
      <c r="D346" s="16" t="s">
        <v>23</v>
      </c>
      <c r="E346" s="16" t="s">
        <v>94</v>
      </c>
      <c r="F346" s="16" t="s">
        <v>2168</v>
      </c>
      <c r="G346" s="16" t="s">
        <v>700</v>
      </c>
      <c r="H346" s="16" t="s">
        <v>510</v>
      </c>
      <c r="I346" s="16" t="s">
        <v>29</v>
      </c>
      <c r="J346" s="16" t="s">
        <v>2175</v>
      </c>
      <c r="K346" s="16" t="n">
        <v>51.4735450744629</v>
      </c>
      <c r="L346" s="16" t="n">
        <v>-0.614692628383637</v>
      </c>
      <c r="M346" s="16" t="s">
        <v>98</v>
      </c>
      <c r="N346" s="16" t="s">
        <v>2176</v>
      </c>
      <c r="O346" s="16"/>
      <c r="P346" s="16" t="s">
        <v>2172</v>
      </c>
      <c r="Q346" s="16" t="s">
        <v>100</v>
      </c>
    </row>
    <row r="347" customFormat="false" ht="15" hidden="false" customHeight="false" outlineLevel="0" collapsed="false">
      <c r="A347" s="16" t="n">
        <v>40918</v>
      </c>
      <c r="B347" s="16" t="s">
        <v>2177</v>
      </c>
      <c r="C347" s="16" t="s">
        <v>2178</v>
      </c>
      <c r="D347" s="16" t="s">
        <v>23</v>
      </c>
      <c r="E347" s="16" t="s">
        <v>94</v>
      </c>
      <c r="F347" s="16" t="s">
        <v>2179</v>
      </c>
      <c r="G347" s="16" t="s">
        <v>33</v>
      </c>
      <c r="H347" s="16" t="s">
        <v>44</v>
      </c>
      <c r="I347" s="16" t="s">
        <v>33</v>
      </c>
      <c r="J347" s="16" t="s">
        <v>2180</v>
      </c>
      <c r="K347" s="16" t="n">
        <v>51.5034637451172</v>
      </c>
      <c r="L347" s="16" t="n">
        <v>-0.086805559694767</v>
      </c>
      <c r="M347" s="16" t="s">
        <v>98</v>
      </c>
      <c r="N347" s="16" t="s">
        <v>2181</v>
      </c>
      <c r="O347" s="16" t="s">
        <v>2182</v>
      </c>
      <c r="P347" s="16" t="s">
        <v>2183</v>
      </c>
      <c r="Q347" s="16" t="s">
        <v>100</v>
      </c>
    </row>
    <row r="348" customFormat="false" ht="15" hidden="false" customHeight="false" outlineLevel="0" collapsed="false">
      <c r="A348" s="16" t="n">
        <v>40919</v>
      </c>
      <c r="B348" s="16" t="s">
        <v>2184</v>
      </c>
      <c r="C348" s="16" t="s">
        <v>2185</v>
      </c>
      <c r="D348" s="16" t="s">
        <v>23</v>
      </c>
      <c r="E348" s="16" t="s">
        <v>94</v>
      </c>
      <c r="F348" s="16" t="s">
        <v>2179</v>
      </c>
      <c r="G348" s="16" t="s">
        <v>33</v>
      </c>
      <c r="H348" s="16" t="s">
        <v>44</v>
      </c>
      <c r="I348" s="16" t="s">
        <v>33</v>
      </c>
      <c r="J348" s="16" t="s">
        <v>2186</v>
      </c>
      <c r="K348" s="16" t="n">
        <v>51.4979591369629</v>
      </c>
      <c r="L348" s="16" t="n">
        <v>-0.118890635669231</v>
      </c>
      <c r="M348" s="16" t="s">
        <v>98</v>
      </c>
      <c r="N348" s="16" t="s">
        <v>2181</v>
      </c>
      <c r="O348" s="16" t="s">
        <v>2182</v>
      </c>
      <c r="P348" s="16" t="s">
        <v>2183</v>
      </c>
      <c r="Q348" s="16" t="s">
        <v>100</v>
      </c>
    </row>
    <row r="349" customFormat="false" ht="15" hidden="false" customHeight="false" outlineLevel="0" collapsed="false">
      <c r="A349" s="16" t="n">
        <v>40922</v>
      </c>
      <c r="B349" s="16" t="s">
        <v>2187</v>
      </c>
      <c r="C349" s="16" t="s">
        <v>2188</v>
      </c>
      <c r="D349" s="16" t="s">
        <v>23</v>
      </c>
      <c r="E349" s="16" t="s">
        <v>94</v>
      </c>
      <c r="F349" s="16" t="s">
        <v>2189</v>
      </c>
      <c r="G349" s="16" t="s">
        <v>33</v>
      </c>
      <c r="H349" s="16" t="s">
        <v>44</v>
      </c>
      <c r="I349" s="16" t="s">
        <v>33</v>
      </c>
      <c r="J349" s="16" t="s">
        <v>2190</v>
      </c>
      <c r="K349" s="16" t="n">
        <v>51.4543304443359</v>
      </c>
      <c r="L349" s="16" t="n">
        <v>-0.0170364379882812</v>
      </c>
      <c r="M349" s="16" t="s">
        <v>98</v>
      </c>
      <c r="N349" s="16" t="s">
        <v>2191</v>
      </c>
      <c r="O349" s="16"/>
      <c r="P349" s="16" t="s">
        <v>2192</v>
      </c>
      <c r="Q349" s="16" t="s">
        <v>100</v>
      </c>
    </row>
    <row r="350" customFormat="false" ht="15" hidden="false" customHeight="false" outlineLevel="0" collapsed="false">
      <c r="A350" s="16" t="n">
        <v>40924</v>
      </c>
      <c r="B350" s="16" t="s">
        <v>2193</v>
      </c>
      <c r="C350" s="16" t="s">
        <v>2194</v>
      </c>
      <c r="D350" s="16" t="s">
        <v>23</v>
      </c>
      <c r="E350" s="16" t="s">
        <v>94</v>
      </c>
      <c r="F350" s="16" t="s">
        <v>2195</v>
      </c>
      <c r="G350" s="16" t="s">
        <v>2196</v>
      </c>
      <c r="H350" s="16" t="s">
        <v>46</v>
      </c>
      <c r="I350" s="16" t="s">
        <v>29</v>
      </c>
      <c r="J350" s="16" t="s">
        <v>2197</v>
      </c>
      <c r="K350" s="16" t="n">
        <v>51.3891296386719</v>
      </c>
      <c r="L350" s="16" t="n">
        <v>-0.108768813312054</v>
      </c>
      <c r="M350" s="16" t="s">
        <v>98</v>
      </c>
      <c r="N350" s="16" t="s">
        <v>2198</v>
      </c>
      <c r="O350" s="16"/>
      <c r="P350" s="16" t="s">
        <v>2199</v>
      </c>
      <c r="Q350" s="16" t="s">
        <v>100</v>
      </c>
    </row>
    <row r="351" customFormat="false" ht="15" hidden="false" customHeight="false" outlineLevel="0" collapsed="false">
      <c r="A351" s="16" t="n">
        <v>40925</v>
      </c>
      <c r="B351" s="16" t="s">
        <v>2200</v>
      </c>
      <c r="C351" s="16" t="s">
        <v>2201</v>
      </c>
      <c r="D351" s="16" t="s">
        <v>23</v>
      </c>
      <c r="E351" s="16" t="s">
        <v>94</v>
      </c>
      <c r="F351" s="16" t="s">
        <v>2195</v>
      </c>
      <c r="G351" s="16" t="s">
        <v>2202</v>
      </c>
      <c r="H351" s="16" t="s">
        <v>46</v>
      </c>
      <c r="I351" s="16" t="s">
        <v>29</v>
      </c>
      <c r="J351" s="16" t="s">
        <v>2203</v>
      </c>
      <c r="K351" s="16" t="n">
        <v>51.3407402038574</v>
      </c>
      <c r="L351" s="16" t="n">
        <v>-0.114451214671135</v>
      </c>
      <c r="M351" s="16" t="s">
        <v>98</v>
      </c>
      <c r="N351" s="16" t="s">
        <v>2204</v>
      </c>
      <c r="O351" s="16"/>
      <c r="P351" s="16" t="s">
        <v>2199</v>
      </c>
      <c r="Q351" s="16" t="s">
        <v>100</v>
      </c>
    </row>
    <row r="352" customFormat="false" ht="15" hidden="false" customHeight="false" outlineLevel="0" collapsed="false">
      <c r="A352" s="16" t="n">
        <v>40949</v>
      </c>
      <c r="B352" s="16" t="s">
        <v>2205</v>
      </c>
      <c r="C352" s="16" t="s">
        <v>2206</v>
      </c>
      <c r="D352" s="16" t="s">
        <v>23</v>
      </c>
      <c r="E352" s="16" t="s">
        <v>94</v>
      </c>
      <c r="F352" s="16" t="s">
        <v>2207</v>
      </c>
      <c r="G352" s="16" t="s">
        <v>33</v>
      </c>
      <c r="H352" s="16" t="s">
        <v>44</v>
      </c>
      <c r="I352" s="16" t="s">
        <v>33</v>
      </c>
      <c r="J352" s="16" t="s">
        <v>2208</v>
      </c>
      <c r="K352" s="16" t="n">
        <v>51.4266815185547</v>
      </c>
      <c r="L352" s="16" t="n">
        <v>-0.175704553723335</v>
      </c>
      <c r="M352" s="16" t="s">
        <v>98</v>
      </c>
      <c r="N352" s="16" t="s">
        <v>2209</v>
      </c>
      <c r="O352" s="16" t="s">
        <v>2210</v>
      </c>
      <c r="P352" s="16" t="s">
        <v>2211</v>
      </c>
      <c r="Q352" s="16" t="s">
        <v>100</v>
      </c>
    </row>
    <row r="353" customFormat="false" ht="15" hidden="false" customHeight="false" outlineLevel="0" collapsed="false">
      <c r="A353" s="16" t="n">
        <v>40952</v>
      </c>
      <c r="B353" s="16" t="s">
        <v>2212</v>
      </c>
      <c r="C353" s="16" t="s">
        <v>2213</v>
      </c>
      <c r="D353" s="16" t="s">
        <v>23</v>
      </c>
      <c r="E353" s="16" t="s">
        <v>94</v>
      </c>
      <c r="F353" s="16" t="s">
        <v>2207</v>
      </c>
      <c r="G353" s="16" t="s">
        <v>33</v>
      </c>
      <c r="H353" s="16" t="s">
        <v>44</v>
      </c>
      <c r="I353" s="16" t="s">
        <v>33</v>
      </c>
      <c r="J353" s="16" t="s">
        <v>2214</v>
      </c>
      <c r="K353" s="16" t="n">
        <v>51.4555511474609</v>
      </c>
      <c r="L353" s="16" t="n">
        <v>-0.241715028882027</v>
      </c>
      <c r="M353" s="16" t="s">
        <v>98</v>
      </c>
      <c r="N353" s="16" t="s">
        <v>2215</v>
      </c>
      <c r="O353" s="16"/>
      <c r="P353" s="16" t="s">
        <v>2216</v>
      </c>
      <c r="Q353" s="16" t="s">
        <v>100</v>
      </c>
    </row>
    <row r="354" customFormat="false" ht="15" hidden="false" customHeight="false" outlineLevel="0" collapsed="false">
      <c r="A354" s="16" t="n">
        <v>40965</v>
      </c>
      <c r="B354" s="16" t="s">
        <v>2217</v>
      </c>
      <c r="C354" s="16" t="s">
        <v>2218</v>
      </c>
      <c r="D354" s="16" t="s">
        <v>23</v>
      </c>
      <c r="E354" s="16" t="s">
        <v>94</v>
      </c>
      <c r="F354" s="16" t="s">
        <v>2219</v>
      </c>
      <c r="G354" s="16" t="s">
        <v>2220</v>
      </c>
      <c r="H354" s="16" t="s">
        <v>1034</v>
      </c>
      <c r="I354" s="16" t="s">
        <v>30</v>
      </c>
      <c r="J354" s="16" t="s">
        <v>2221</v>
      </c>
      <c r="K354" s="16" t="n">
        <v>50.3278846740723</v>
      </c>
      <c r="L354" s="16" t="n">
        <v>-4.77234983444214</v>
      </c>
      <c r="M354" s="16" t="s">
        <v>98</v>
      </c>
      <c r="N354" s="16" t="s">
        <v>2222</v>
      </c>
      <c r="O354" s="16"/>
      <c r="P354" s="16" t="s">
        <v>2223</v>
      </c>
      <c r="Q354" s="16" t="s">
        <v>100</v>
      </c>
    </row>
    <row r="355" customFormat="false" ht="15" hidden="false" customHeight="false" outlineLevel="0" collapsed="false">
      <c r="A355" s="16" t="n">
        <v>40966</v>
      </c>
      <c r="B355" s="16" t="s">
        <v>2224</v>
      </c>
      <c r="C355" s="16" t="s">
        <v>2225</v>
      </c>
      <c r="D355" s="16" t="s">
        <v>23</v>
      </c>
      <c r="E355" s="16" t="s">
        <v>94</v>
      </c>
      <c r="F355" s="16" t="s">
        <v>2219</v>
      </c>
      <c r="G355" s="16" t="s">
        <v>2226</v>
      </c>
      <c r="H355" s="16" t="s">
        <v>1034</v>
      </c>
      <c r="I355" s="16" t="s">
        <v>30</v>
      </c>
      <c r="J355" s="16" t="s">
        <v>2227</v>
      </c>
      <c r="K355" s="16" t="n">
        <v>50.4110641479492</v>
      </c>
      <c r="L355" s="16" t="n">
        <v>-5.07419776916504</v>
      </c>
      <c r="M355" s="16" t="s">
        <v>98</v>
      </c>
      <c r="N355" s="16" t="s">
        <v>2228</v>
      </c>
      <c r="O355" s="16"/>
      <c r="P355" s="16" t="s">
        <v>2229</v>
      </c>
      <c r="Q355" s="16" t="s">
        <v>100</v>
      </c>
    </row>
    <row r="356" customFormat="false" ht="15" hidden="false" customHeight="false" outlineLevel="0" collapsed="false">
      <c r="A356" s="16" t="n">
        <v>40968</v>
      </c>
      <c r="B356" s="16" t="s">
        <v>2230</v>
      </c>
      <c r="C356" s="16" t="s">
        <v>2231</v>
      </c>
      <c r="D356" s="16" t="s">
        <v>23</v>
      </c>
      <c r="E356" s="16" t="s">
        <v>94</v>
      </c>
      <c r="F356" s="16" t="s">
        <v>2219</v>
      </c>
      <c r="G356" s="16" t="s">
        <v>2232</v>
      </c>
      <c r="H356" s="16" t="s">
        <v>1034</v>
      </c>
      <c r="I356" s="16" t="s">
        <v>30</v>
      </c>
      <c r="J356" s="16" t="s">
        <v>2233</v>
      </c>
      <c r="K356" s="16" t="n">
        <v>50.2293891906738</v>
      </c>
      <c r="L356" s="16" t="n">
        <v>-5.24436330795288</v>
      </c>
      <c r="M356" s="16" t="s">
        <v>98</v>
      </c>
      <c r="N356" s="16" t="s">
        <v>2234</v>
      </c>
      <c r="O356" s="16"/>
      <c r="P356" s="16" t="s">
        <v>2235</v>
      </c>
      <c r="Q356" s="16" t="s">
        <v>100</v>
      </c>
    </row>
    <row r="357" customFormat="false" ht="15" hidden="false" customHeight="false" outlineLevel="0" collapsed="false">
      <c r="A357" s="16" t="n">
        <v>40970</v>
      </c>
      <c r="B357" s="16" t="s">
        <v>2236</v>
      </c>
      <c r="C357" s="16" t="s">
        <v>2237</v>
      </c>
      <c r="D357" s="16" t="s">
        <v>23</v>
      </c>
      <c r="E357" s="16" t="s">
        <v>94</v>
      </c>
      <c r="F357" s="16" t="s">
        <v>2219</v>
      </c>
      <c r="G357" s="16" t="s">
        <v>2238</v>
      </c>
      <c r="H357" s="16" t="s">
        <v>1034</v>
      </c>
      <c r="I357" s="16" t="s">
        <v>30</v>
      </c>
      <c r="J357" s="16" t="s">
        <v>2239</v>
      </c>
      <c r="K357" s="16" t="n">
        <v>50.4672470092773</v>
      </c>
      <c r="L357" s="16" t="n">
        <v>-4.74114418029785</v>
      </c>
      <c r="M357" s="16" t="s">
        <v>98</v>
      </c>
      <c r="N357" s="16" t="s">
        <v>2240</v>
      </c>
      <c r="O357" s="16" t="s">
        <v>2241</v>
      </c>
      <c r="P357" s="16" t="s">
        <v>2242</v>
      </c>
      <c r="Q357" s="16" t="s">
        <v>100</v>
      </c>
    </row>
    <row r="358" customFormat="false" ht="15" hidden="false" customHeight="false" outlineLevel="0" collapsed="false">
      <c r="A358" s="16" t="n">
        <v>40971</v>
      </c>
      <c r="B358" s="16" t="s">
        <v>2243</v>
      </c>
      <c r="C358" s="16" t="s">
        <v>2244</v>
      </c>
      <c r="D358" s="16" t="s">
        <v>23</v>
      </c>
      <c r="E358" s="16" t="s">
        <v>94</v>
      </c>
      <c r="F358" s="16" t="s">
        <v>2219</v>
      </c>
      <c r="G358" s="16" t="s">
        <v>2245</v>
      </c>
      <c r="H358" s="16" t="s">
        <v>1034</v>
      </c>
      <c r="I358" s="16" t="s">
        <v>30</v>
      </c>
      <c r="J358" s="16" t="s">
        <v>2246</v>
      </c>
      <c r="K358" s="16" t="n">
        <v>50.830753326416</v>
      </c>
      <c r="L358" s="16" t="n">
        <v>-4.51752662658691</v>
      </c>
      <c r="M358" s="16" t="s">
        <v>98</v>
      </c>
      <c r="N358" s="16" t="s">
        <v>2247</v>
      </c>
      <c r="O358" s="16"/>
      <c r="P358" s="16" t="s">
        <v>2248</v>
      </c>
      <c r="Q358" s="16" t="s">
        <v>100</v>
      </c>
    </row>
    <row r="359" customFormat="false" ht="15" hidden="false" customHeight="false" outlineLevel="0" collapsed="false">
      <c r="A359" s="16" t="n">
        <v>40973</v>
      </c>
      <c r="B359" s="16" t="s">
        <v>2249</v>
      </c>
      <c r="C359" s="16" t="s">
        <v>2250</v>
      </c>
      <c r="D359" s="16" t="s">
        <v>23</v>
      </c>
      <c r="E359" s="16" t="s">
        <v>94</v>
      </c>
      <c r="F359" s="16" t="s">
        <v>2219</v>
      </c>
      <c r="G359" s="16" t="s">
        <v>2251</v>
      </c>
      <c r="H359" s="16" t="s">
        <v>1034</v>
      </c>
      <c r="I359" s="16" t="s">
        <v>30</v>
      </c>
      <c r="J359" s="16" t="s">
        <v>2252</v>
      </c>
      <c r="K359" s="16" t="n">
        <v>50.6283912658691</v>
      </c>
      <c r="L359" s="16" t="n">
        <v>-4.35976123809815</v>
      </c>
      <c r="M359" s="16" t="s">
        <v>98</v>
      </c>
      <c r="N359" s="16" t="s">
        <v>2253</v>
      </c>
      <c r="O359" s="16"/>
      <c r="P359" s="16" t="s">
        <v>2254</v>
      </c>
      <c r="Q359" s="16" t="s">
        <v>100</v>
      </c>
    </row>
    <row r="360" customFormat="false" ht="15" hidden="false" customHeight="false" outlineLevel="0" collapsed="false">
      <c r="A360" s="16" t="n">
        <v>40975</v>
      </c>
      <c r="B360" s="16" t="s">
        <v>2255</v>
      </c>
      <c r="C360" s="16" t="s">
        <v>2256</v>
      </c>
      <c r="D360" s="16" t="s">
        <v>23</v>
      </c>
      <c r="E360" s="16" t="s">
        <v>94</v>
      </c>
      <c r="F360" s="16" t="s">
        <v>2257</v>
      </c>
      <c r="G360" s="16" t="s">
        <v>2258</v>
      </c>
      <c r="H360" s="16" t="s">
        <v>260</v>
      </c>
      <c r="I360" s="16" t="s">
        <v>34</v>
      </c>
      <c r="J360" s="16" t="s">
        <v>2259</v>
      </c>
      <c r="K360" s="16" t="n">
        <v>52.2899513244629</v>
      </c>
      <c r="L360" s="16" t="n">
        <v>-1.58320069313049</v>
      </c>
      <c r="M360" s="16" t="s">
        <v>98</v>
      </c>
      <c r="N360" s="16" t="s">
        <v>2260</v>
      </c>
      <c r="O360" s="16"/>
      <c r="P360" s="16" t="s">
        <v>2261</v>
      </c>
      <c r="Q360" s="16" t="s">
        <v>100</v>
      </c>
    </row>
    <row r="361" customFormat="false" ht="15" hidden="false" customHeight="false" outlineLevel="0" collapsed="false">
      <c r="A361" s="16" t="n">
        <v>40976</v>
      </c>
      <c r="B361" s="16" t="s">
        <v>2262</v>
      </c>
      <c r="C361" s="16" t="s">
        <v>2263</v>
      </c>
      <c r="D361" s="16" t="s">
        <v>23</v>
      </c>
      <c r="E361" s="16" t="s">
        <v>94</v>
      </c>
      <c r="F361" s="16" t="s">
        <v>2257</v>
      </c>
      <c r="G361" s="16" t="s">
        <v>2264</v>
      </c>
      <c r="H361" s="16" t="s">
        <v>260</v>
      </c>
      <c r="I361" s="16" t="s">
        <v>34</v>
      </c>
      <c r="J361" s="16" t="s">
        <v>2265</v>
      </c>
      <c r="K361" s="16" t="n">
        <v>52.1952667236328</v>
      </c>
      <c r="L361" s="16" t="n">
        <v>-1.71338546276093</v>
      </c>
      <c r="M361" s="16" t="s">
        <v>98</v>
      </c>
      <c r="N361" s="16" t="s">
        <v>2266</v>
      </c>
      <c r="O361" s="16"/>
      <c r="P361" s="16" t="s">
        <v>2261</v>
      </c>
      <c r="Q361" s="16" t="s">
        <v>100</v>
      </c>
    </row>
    <row r="362" customFormat="false" ht="15" hidden="false" customHeight="false" outlineLevel="0" collapsed="false">
      <c r="A362" s="16" t="n">
        <v>40977</v>
      </c>
      <c r="B362" s="16" t="s">
        <v>2267</v>
      </c>
      <c r="C362" s="16" t="s">
        <v>2268</v>
      </c>
      <c r="D362" s="16" t="s">
        <v>23</v>
      </c>
      <c r="E362" s="16" t="s">
        <v>94</v>
      </c>
      <c r="F362" s="16" t="s">
        <v>2257</v>
      </c>
      <c r="G362" s="16" t="s">
        <v>2269</v>
      </c>
      <c r="H362" s="16" t="s">
        <v>260</v>
      </c>
      <c r="I362" s="16" t="s">
        <v>34</v>
      </c>
      <c r="J362" s="16" t="s">
        <v>2270</v>
      </c>
      <c r="K362" s="16" t="n">
        <v>52.0668601989746</v>
      </c>
      <c r="L362" s="16" t="n">
        <v>-1.62253701686859</v>
      </c>
      <c r="M362" s="16" t="s">
        <v>98</v>
      </c>
      <c r="N362" s="16" t="s">
        <v>2271</v>
      </c>
      <c r="O362" s="16"/>
      <c r="P362" s="16" t="s">
        <v>2261</v>
      </c>
      <c r="Q362" s="16" t="s">
        <v>100</v>
      </c>
    </row>
    <row r="363" customFormat="false" ht="15" hidden="false" customHeight="false" outlineLevel="0" collapsed="false">
      <c r="A363" s="16" t="n">
        <v>41013</v>
      </c>
      <c r="B363" s="16" t="s">
        <v>2272</v>
      </c>
      <c r="C363" s="16" t="s">
        <v>2273</v>
      </c>
      <c r="D363" s="16" t="s">
        <v>23</v>
      </c>
      <c r="E363" s="16" t="s">
        <v>94</v>
      </c>
      <c r="F363" s="16" t="s">
        <v>2274</v>
      </c>
      <c r="G363" s="16" t="s">
        <v>2275</v>
      </c>
      <c r="H363" s="16" t="s">
        <v>285</v>
      </c>
      <c r="I363" s="16" t="s">
        <v>34</v>
      </c>
      <c r="J363" s="16" t="s">
        <v>2276</v>
      </c>
      <c r="K363" s="16" t="n">
        <v>53.0031585693359</v>
      </c>
      <c r="L363" s="16" t="n">
        <v>-2.21205186843872</v>
      </c>
      <c r="M363" s="16" t="s">
        <v>98</v>
      </c>
      <c r="N363" s="16" t="s">
        <v>2277</v>
      </c>
      <c r="O363" s="16"/>
      <c r="P363" s="16" t="s">
        <v>2278</v>
      </c>
      <c r="Q363" s="16" t="s">
        <v>100</v>
      </c>
    </row>
    <row r="364" customFormat="false" ht="15" hidden="false" customHeight="false" outlineLevel="0" collapsed="false">
      <c r="A364" s="16" t="n">
        <v>41017</v>
      </c>
      <c r="B364" s="16" t="s">
        <v>2279</v>
      </c>
      <c r="C364" s="16" t="s">
        <v>2280</v>
      </c>
      <c r="D364" s="16" t="s">
        <v>23</v>
      </c>
      <c r="E364" s="16" t="s">
        <v>94</v>
      </c>
      <c r="F364" s="16" t="s">
        <v>2281</v>
      </c>
      <c r="G364" s="16" t="s">
        <v>2282</v>
      </c>
      <c r="H364" s="16" t="s">
        <v>285</v>
      </c>
      <c r="I364" s="16" t="s">
        <v>34</v>
      </c>
      <c r="J364" s="16" t="s">
        <v>2283</v>
      </c>
      <c r="K364" s="16" t="n">
        <v>52.6206665039063</v>
      </c>
      <c r="L364" s="16" t="n">
        <v>-1.72385263442993</v>
      </c>
      <c r="M364" s="16" t="s">
        <v>98</v>
      </c>
      <c r="N364" s="16" t="s">
        <v>2284</v>
      </c>
      <c r="O364" s="16"/>
      <c r="P364" s="16" t="s">
        <v>2285</v>
      </c>
      <c r="Q364" s="16" t="s">
        <v>100</v>
      </c>
    </row>
    <row r="365" customFormat="false" ht="15" hidden="false" customHeight="false" outlineLevel="0" collapsed="false">
      <c r="A365" s="16" t="n">
        <v>41019</v>
      </c>
      <c r="B365" s="16" t="s">
        <v>2286</v>
      </c>
      <c r="C365" s="16" t="s">
        <v>2287</v>
      </c>
      <c r="D365" s="16" t="s">
        <v>23</v>
      </c>
      <c r="E365" s="16" t="s">
        <v>94</v>
      </c>
      <c r="F365" s="16" t="s">
        <v>2288</v>
      </c>
      <c r="G365" s="16" t="s">
        <v>849</v>
      </c>
      <c r="H365" s="16" t="s">
        <v>850</v>
      </c>
      <c r="I365" s="16" t="s">
        <v>35</v>
      </c>
      <c r="J365" s="16" t="s">
        <v>2289</v>
      </c>
      <c r="K365" s="16" t="n">
        <v>53.5448570251465</v>
      </c>
      <c r="L365" s="16" t="n">
        <v>-0.0962134972214699</v>
      </c>
      <c r="M365" s="16" t="s">
        <v>98</v>
      </c>
      <c r="N365" s="16" t="s">
        <v>2290</v>
      </c>
      <c r="O365" s="16" t="s">
        <v>2291</v>
      </c>
      <c r="P365" s="16" t="s">
        <v>2292</v>
      </c>
      <c r="Q365" s="16" t="s">
        <v>100</v>
      </c>
    </row>
    <row r="366" customFormat="false" ht="15" hidden="false" customHeight="false" outlineLevel="0" collapsed="false">
      <c r="A366" s="16" t="n">
        <v>41021</v>
      </c>
      <c r="B366" s="16" t="s">
        <v>2293</v>
      </c>
      <c r="C366" s="16" t="s">
        <v>2294</v>
      </c>
      <c r="D366" s="16" t="s">
        <v>23</v>
      </c>
      <c r="E366" s="16" t="s">
        <v>94</v>
      </c>
      <c r="F366" s="16" t="s">
        <v>2288</v>
      </c>
      <c r="G366" s="16" t="s">
        <v>2295</v>
      </c>
      <c r="H366" s="16" t="s">
        <v>814</v>
      </c>
      <c r="I366" s="16" t="s">
        <v>36</v>
      </c>
      <c r="J366" s="16" t="s">
        <v>2296</v>
      </c>
      <c r="K366" s="16" t="n">
        <v>53.5875854492188</v>
      </c>
      <c r="L366" s="16" t="n">
        <v>-0.66758406162262</v>
      </c>
      <c r="M366" s="16" t="s">
        <v>98</v>
      </c>
      <c r="N366" s="16" t="s">
        <v>2297</v>
      </c>
      <c r="O366" s="16" t="s">
        <v>2291</v>
      </c>
      <c r="P366" s="16" t="s">
        <v>2298</v>
      </c>
      <c r="Q366" s="16" t="s">
        <v>100</v>
      </c>
    </row>
    <row r="367" customFormat="false" ht="15" hidden="false" customHeight="false" outlineLevel="0" collapsed="false">
      <c r="A367" s="16" t="n">
        <v>41028</v>
      </c>
      <c r="B367" s="16" t="s">
        <v>2299</v>
      </c>
      <c r="C367" s="16" t="s">
        <v>2300</v>
      </c>
      <c r="D367" s="16" t="s">
        <v>23</v>
      </c>
      <c r="E367" s="16" t="s">
        <v>94</v>
      </c>
      <c r="F367" s="16" t="s">
        <v>2301</v>
      </c>
      <c r="G367" s="16" t="s">
        <v>2302</v>
      </c>
      <c r="H367" s="16" t="s">
        <v>55</v>
      </c>
      <c r="I367" s="16" t="s">
        <v>31</v>
      </c>
      <c r="J367" s="16" t="s">
        <v>2303</v>
      </c>
      <c r="K367" s="16" t="n">
        <v>53.1580276489258</v>
      </c>
      <c r="L367" s="16" t="n">
        <v>-2.20266079902649</v>
      </c>
      <c r="M367" s="16" t="s">
        <v>98</v>
      </c>
      <c r="N367" s="16" t="s">
        <v>2304</v>
      </c>
      <c r="O367" s="16"/>
      <c r="P367" s="16" t="s">
        <v>2305</v>
      </c>
      <c r="Q367" s="16" t="s">
        <v>100</v>
      </c>
    </row>
    <row r="368" customFormat="false" ht="15" hidden="false" customHeight="false" outlineLevel="0" collapsed="false">
      <c r="A368" s="16" t="n">
        <v>41030</v>
      </c>
      <c r="B368" s="16" t="s">
        <v>2306</v>
      </c>
      <c r="C368" s="16" t="s">
        <v>2307</v>
      </c>
      <c r="D368" s="16" t="s">
        <v>23</v>
      </c>
      <c r="E368" s="16" t="s">
        <v>94</v>
      </c>
      <c r="F368" s="16" t="s">
        <v>2301</v>
      </c>
      <c r="G368" s="16" t="s">
        <v>2308</v>
      </c>
      <c r="H368" s="16" t="s">
        <v>55</v>
      </c>
      <c r="I368" s="16" t="s">
        <v>31</v>
      </c>
      <c r="J368" s="16" t="s">
        <v>2309</v>
      </c>
      <c r="K368" s="16" t="n">
        <v>53.3020057678223</v>
      </c>
      <c r="L368" s="16" t="n">
        <v>-2.37859034538269</v>
      </c>
      <c r="M368" s="16" t="s">
        <v>98</v>
      </c>
      <c r="N368" s="16" t="s">
        <v>2310</v>
      </c>
      <c r="O368" s="16"/>
      <c r="P368" s="16" t="s">
        <v>2305</v>
      </c>
      <c r="Q368" s="16" t="s">
        <v>100</v>
      </c>
    </row>
    <row r="369" customFormat="false" ht="15" hidden="false" customHeight="false" outlineLevel="0" collapsed="false">
      <c r="A369" s="16" t="n">
        <v>41031</v>
      </c>
      <c r="B369" s="16" t="s">
        <v>2311</v>
      </c>
      <c r="C369" s="16" t="s">
        <v>2312</v>
      </c>
      <c r="D369" s="16" t="s">
        <v>23</v>
      </c>
      <c r="E369" s="16" t="s">
        <v>94</v>
      </c>
      <c r="F369" s="16" t="s">
        <v>2301</v>
      </c>
      <c r="G369" s="16" t="s">
        <v>502</v>
      </c>
      <c r="H369" s="16" t="s">
        <v>55</v>
      </c>
      <c r="I369" s="16" t="s">
        <v>31</v>
      </c>
      <c r="J369" s="16" t="s">
        <v>2313</v>
      </c>
      <c r="K369" s="16" t="n">
        <v>53.2623252868652</v>
      </c>
      <c r="L369" s="16" t="n">
        <v>-2.1410596370697</v>
      </c>
      <c r="M369" s="16" t="s">
        <v>98</v>
      </c>
      <c r="N369" s="16" t="s">
        <v>2314</v>
      </c>
      <c r="O369" s="16"/>
      <c r="P369" s="16" t="s">
        <v>2305</v>
      </c>
      <c r="Q369" s="16" t="s">
        <v>100</v>
      </c>
    </row>
    <row r="370" customFormat="false" ht="15" hidden="false" customHeight="false" outlineLevel="0" collapsed="false">
      <c r="A370" s="16" t="n">
        <v>41035</v>
      </c>
      <c r="B370" s="16" t="s">
        <v>2315</v>
      </c>
      <c r="C370" s="16" t="s">
        <v>2316</v>
      </c>
      <c r="D370" s="16" t="s">
        <v>23</v>
      </c>
      <c r="E370" s="16" t="s">
        <v>94</v>
      </c>
      <c r="F370" s="16" t="s">
        <v>2317</v>
      </c>
      <c r="G370" s="16" t="s">
        <v>202</v>
      </c>
      <c r="H370" s="16" t="s">
        <v>55</v>
      </c>
      <c r="I370" s="16" t="s">
        <v>31</v>
      </c>
      <c r="J370" s="16" t="s">
        <v>2318</v>
      </c>
      <c r="K370" s="16" t="n">
        <v>53.2115325927734</v>
      </c>
      <c r="L370" s="16" t="n">
        <v>-2.9022843837738</v>
      </c>
      <c r="M370" s="16" t="s">
        <v>98</v>
      </c>
      <c r="N370" s="16" t="s">
        <v>2319</v>
      </c>
      <c r="O370" s="16" t="s">
        <v>2320</v>
      </c>
      <c r="P370" s="16" t="s">
        <v>2321</v>
      </c>
      <c r="Q370" s="16" t="s">
        <v>100</v>
      </c>
    </row>
    <row r="371" customFormat="false" ht="15" hidden="false" customHeight="false" outlineLevel="0" collapsed="false">
      <c r="A371" s="16" t="n">
        <v>41036</v>
      </c>
      <c r="B371" s="16" t="s">
        <v>2322</v>
      </c>
      <c r="C371" s="16" t="s">
        <v>2323</v>
      </c>
      <c r="D371" s="16" t="s">
        <v>23</v>
      </c>
      <c r="E371" s="16" t="s">
        <v>94</v>
      </c>
      <c r="F371" s="16" t="s">
        <v>2317</v>
      </c>
      <c r="G371" s="16" t="s">
        <v>2324</v>
      </c>
      <c r="H371" s="16" t="s">
        <v>52</v>
      </c>
      <c r="I371" s="16" t="s">
        <v>31</v>
      </c>
      <c r="J371" s="16" t="s">
        <v>2325</v>
      </c>
      <c r="K371" s="16" t="n">
        <v>53.2677803039551</v>
      </c>
      <c r="L371" s="16" t="n">
        <v>-2.91102528572083</v>
      </c>
      <c r="M371" s="16" t="s">
        <v>98</v>
      </c>
      <c r="N371" s="16" t="s">
        <v>2326</v>
      </c>
      <c r="O371" s="16" t="s">
        <v>2320</v>
      </c>
      <c r="P371" s="16" t="s">
        <v>2327</v>
      </c>
      <c r="Q371" s="16" t="s">
        <v>100</v>
      </c>
    </row>
    <row r="372" customFormat="false" ht="15" hidden="false" customHeight="false" outlineLevel="0" collapsed="false">
      <c r="A372" s="16" t="n">
        <v>41042</v>
      </c>
      <c r="B372" s="16" t="s">
        <v>2328</v>
      </c>
      <c r="C372" s="16" t="s">
        <v>2329</v>
      </c>
      <c r="D372" s="16" t="s">
        <v>23</v>
      </c>
      <c r="E372" s="16" t="s">
        <v>94</v>
      </c>
      <c r="F372" s="16" t="s">
        <v>2330</v>
      </c>
      <c r="G372" s="16" t="s">
        <v>33</v>
      </c>
      <c r="H372" s="16" t="s">
        <v>44</v>
      </c>
      <c r="I372" s="16" t="s">
        <v>33</v>
      </c>
      <c r="J372" s="16" t="s">
        <v>2331</v>
      </c>
      <c r="K372" s="16" t="n">
        <v>51.4680786132813</v>
      </c>
      <c r="L372" s="16" t="n">
        <v>-0.0939013883471488</v>
      </c>
      <c r="M372" s="16" t="s">
        <v>98</v>
      </c>
      <c r="N372" s="16" t="s">
        <v>2332</v>
      </c>
      <c r="O372" s="16" t="s">
        <v>2333</v>
      </c>
      <c r="P372" s="16" t="s">
        <v>2334</v>
      </c>
      <c r="Q372" s="16" t="s">
        <v>100</v>
      </c>
    </row>
    <row r="373" customFormat="false" ht="15" hidden="false" customHeight="false" outlineLevel="0" collapsed="false">
      <c r="A373" s="16" t="n">
        <v>41053</v>
      </c>
      <c r="B373" s="16" t="s">
        <v>2335</v>
      </c>
      <c r="C373" s="16" t="s">
        <v>2336</v>
      </c>
      <c r="D373" s="16" t="s">
        <v>23</v>
      </c>
      <c r="E373" s="16" t="s">
        <v>94</v>
      </c>
      <c r="F373" s="16" t="s">
        <v>2337</v>
      </c>
      <c r="G373" s="16" t="s">
        <v>2338</v>
      </c>
      <c r="H373" s="16" t="s">
        <v>694</v>
      </c>
      <c r="I373" s="16" t="s">
        <v>36</v>
      </c>
      <c r="J373" s="16" t="s">
        <v>2339</v>
      </c>
      <c r="K373" s="16" t="n">
        <v>53.1345558166504</v>
      </c>
      <c r="L373" s="16" t="n">
        <v>-1.2335661649704</v>
      </c>
      <c r="M373" s="16" t="s">
        <v>98</v>
      </c>
      <c r="N373" s="16" t="s">
        <v>2340</v>
      </c>
      <c r="O373" s="16" t="s">
        <v>2341</v>
      </c>
      <c r="P373" s="16" t="s">
        <v>2342</v>
      </c>
      <c r="Q373" s="16" t="s">
        <v>100</v>
      </c>
    </row>
    <row r="374" customFormat="false" ht="15" hidden="false" customHeight="false" outlineLevel="0" collapsed="false">
      <c r="A374" s="16" t="n">
        <v>41054</v>
      </c>
      <c r="B374" s="16" t="s">
        <v>2343</v>
      </c>
      <c r="C374" s="16" t="s">
        <v>2344</v>
      </c>
      <c r="D374" s="16" t="s">
        <v>23</v>
      </c>
      <c r="E374" s="16" t="s">
        <v>94</v>
      </c>
      <c r="F374" s="16" t="s">
        <v>2337</v>
      </c>
      <c r="G374" s="16" t="s">
        <v>2345</v>
      </c>
      <c r="H374" s="16" t="s">
        <v>694</v>
      </c>
      <c r="I374" s="16" t="s">
        <v>36</v>
      </c>
      <c r="J374" s="16" t="s">
        <v>2346</v>
      </c>
      <c r="K374" s="16" t="n">
        <v>53.1413612365723</v>
      </c>
      <c r="L374" s="16" t="n">
        <v>-1.20626664161682</v>
      </c>
      <c r="M374" s="16" t="s">
        <v>98</v>
      </c>
      <c r="N374" s="16" t="s">
        <v>2340</v>
      </c>
      <c r="O374" s="16"/>
      <c r="P374" s="16" t="s">
        <v>2342</v>
      </c>
      <c r="Q374" s="16" t="s">
        <v>100</v>
      </c>
    </row>
    <row r="375" customFormat="false" ht="15" hidden="false" customHeight="false" outlineLevel="0" collapsed="false">
      <c r="A375" s="16" t="n">
        <v>41058</v>
      </c>
      <c r="B375" s="16" t="s">
        <v>2347</v>
      </c>
      <c r="C375" s="16" t="s">
        <v>2348</v>
      </c>
      <c r="D375" s="16" t="s">
        <v>23</v>
      </c>
      <c r="E375" s="16" t="s">
        <v>94</v>
      </c>
      <c r="F375" s="16" t="s">
        <v>2337</v>
      </c>
      <c r="G375" s="16" t="s">
        <v>2349</v>
      </c>
      <c r="H375" s="16" t="s">
        <v>694</v>
      </c>
      <c r="I375" s="16" t="s">
        <v>36</v>
      </c>
      <c r="J375" s="16" t="s">
        <v>2350</v>
      </c>
      <c r="K375" s="16" t="n">
        <v>53.0675086975098</v>
      </c>
      <c r="L375" s="16" t="n">
        <v>-0.806145906448364</v>
      </c>
      <c r="M375" s="16" t="s">
        <v>98</v>
      </c>
      <c r="N375" s="16" t="s">
        <v>2351</v>
      </c>
      <c r="O375" s="16" t="s">
        <v>2341</v>
      </c>
      <c r="P375" s="16" t="s">
        <v>2342</v>
      </c>
      <c r="Q375" s="16" t="s">
        <v>100</v>
      </c>
    </row>
    <row r="376" customFormat="false" ht="15" hidden="false" customHeight="false" outlineLevel="0" collapsed="false">
      <c r="A376" s="16" t="n">
        <v>41066</v>
      </c>
      <c r="B376" s="16" t="s">
        <v>2352</v>
      </c>
      <c r="C376" s="16" t="s">
        <v>2353</v>
      </c>
      <c r="D376" s="16" t="s">
        <v>23</v>
      </c>
      <c r="E376" s="16" t="s">
        <v>94</v>
      </c>
      <c r="F376" s="16" t="s">
        <v>2354</v>
      </c>
      <c r="G376" s="16" t="s">
        <v>164</v>
      </c>
      <c r="H376" s="16" t="s">
        <v>48</v>
      </c>
      <c r="I376" s="16" t="s">
        <v>30</v>
      </c>
      <c r="J376" s="16" t="s">
        <v>2355</v>
      </c>
      <c r="K376" s="16" t="n">
        <v>50.4167289733887</v>
      </c>
      <c r="L376" s="16" t="n">
        <v>-4.11367130279541</v>
      </c>
      <c r="M376" s="16" t="s">
        <v>98</v>
      </c>
      <c r="N376" s="16" t="s">
        <v>2356</v>
      </c>
      <c r="O376" s="16"/>
      <c r="P376" s="16" t="s">
        <v>2357</v>
      </c>
      <c r="Q376" s="16" t="s">
        <v>100</v>
      </c>
    </row>
    <row r="377" customFormat="false" ht="15" hidden="false" customHeight="false" outlineLevel="0" collapsed="false">
      <c r="A377" s="16" t="n">
        <v>41067</v>
      </c>
      <c r="B377" s="16" t="s">
        <v>2358</v>
      </c>
      <c r="C377" s="16" t="s">
        <v>2359</v>
      </c>
      <c r="D377" s="16" t="s">
        <v>23</v>
      </c>
      <c r="E377" s="16" t="s">
        <v>94</v>
      </c>
      <c r="F377" s="16" t="s">
        <v>2354</v>
      </c>
      <c r="G377" s="16" t="s">
        <v>164</v>
      </c>
      <c r="H377" s="16" t="s">
        <v>48</v>
      </c>
      <c r="I377" s="16" t="s">
        <v>30</v>
      </c>
      <c r="J377" s="16" t="s">
        <v>2355</v>
      </c>
      <c r="K377" s="16" t="n">
        <v>50.4167289733887</v>
      </c>
      <c r="L377" s="16" t="n">
        <v>-4.11367130279541</v>
      </c>
      <c r="M377" s="16" t="s">
        <v>98</v>
      </c>
      <c r="N377" s="16" t="s">
        <v>2356</v>
      </c>
      <c r="O377" s="16"/>
      <c r="P377" s="16" t="s">
        <v>2360</v>
      </c>
      <c r="Q377" s="16" t="s">
        <v>100</v>
      </c>
    </row>
    <row r="378" customFormat="false" ht="15" hidden="false" customHeight="false" outlineLevel="0" collapsed="false">
      <c r="A378" s="16" t="n">
        <v>41070</v>
      </c>
      <c r="B378" s="16" t="s">
        <v>2361</v>
      </c>
      <c r="C378" s="16" t="s">
        <v>2362</v>
      </c>
      <c r="D378" s="16" t="s">
        <v>23</v>
      </c>
      <c r="E378" s="16" t="s">
        <v>94</v>
      </c>
      <c r="F378" s="16" t="s">
        <v>2363</v>
      </c>
      <c r="G378" s="16" t="s">
        <v>686</v>
      </c>
      <c r="H378" s="16" t="s">
        <v>260</v>
      </c>
      <c r="I378" s="16" t="s">
        <v>34</v>
      </c>
      <c r="J378" s="16" t="s">
        <v>2364</v>
      </c>
      <c r="K378" s="16" t="n">
        <v>52.4212150573731</v>
      </c>
      <c r="L378" s="16" t="n">
        <v>-1.43838858604431</v>
      </c>
      <c r="M378" s="16" t="s">
        <v>98</v>
      </c>
      <c r="N378" s="16" t="s">
        <v>2365</v>
      </c>
      <c r="O378" s="16" t="s">
        <v>2366</v>
      </c>
      <c r="P378" s="16" t="s">
        <v>2367</v>
      </c>
      <c r="Q378" s="16" t="s">
        <v>100</v>
      </c>
    </row>
    <row r="379" customFormat="false" ht="15" hidden="false" customHeight="false" outlineLevel="0" collapsed="false">
      <c r="A379" s="16" t="n">
        <v>41072</v>
      </c>
      <c r="B379" s="16" t="s">
        <v>2368</v>
      </c>
      <c r="C379" s="16" t="s">
        <v>2369</v>
      </c>
      <c r="D379" s="16" t="s">
        <v>23</v>
      </c>
      <c r="E379" s="16" t="s">
        <v>94</v>
      </c>
      <c r="F379" s="16" t="s">
        <v>2363</v>
      </c>
      <c r="G379" s="16" t="s">
        <v>2370</v>
      </c>
      <c r="H379" s="16" t="s">
        <v>260</v>
      </c>
      <c r="I379" s="16" t="s">
        <v>34</v>
      </c>
      <c r="J379" s="16" t="s">
        <v>2371</v>
      </c>
      <c r="K379" s="16" t="n">
        <v>52.3652763366699</v>
      </c>
      <c r="L379" s="16" t="n">
        <v>-1.25901603698731</v>
      </c>
      <c r="M379" s="16" t="s">
        <v>98</v>
      </c>
      <c r="N379" s="16" t="s">
        <v>2372</v>
      </c>
      <c r="O379" s="16" t="s">
        <v>2366</v>
      </c>
      <c r="P379" s="16" t="s">
        <v>2367</v>
      </c>
      <c r="Q379" s="16" t="s">
        <v>100</v>
      </c>
    </row>
    <row r="380" customFormat="false" ht="15" hidden="false" customHeight="false" outlineLevel="0" collapsed="false">
      <c r="A380" s="16" t="n">
        <v>41077</v>
      </c>
      <c r="B380" s="16" t="s">
        <v>2373</v>
      </c>
      <c r="C380" s="16" t="s">
        <v>2374</v>
      </c>
      <c r="D380" s="16" t="s">
        <v>23</v>
      </c>
      <c r="E380" s="16" t="s">
        <v>94</v>
      </c>
      <c r="F380" s="16" t="s">
        <v>2375</v>
      </c>
      <c r="G380" s="16" t="s">
        <v>33</v>
      </c>
      <c r="H380" s="16" t="s">
        <v>44</v>
      </c>
      <c r="I380" s="16" t="s">
        <v>33</v>
      </c>
      <c r="J380" s="16" t="s">
        <v>2376</v>
      </c>
      <c r="K380" s="16" t="n">
        <v>51.5834197998047</v>
      </c>
      <c r="L380" s="16" t="n">
        <v>-0.131024420261383</v>
      </c>
      <c r="M380" s="16" t="s">
        <v>98</v>
      </c>
      <c r="N380" s="16"/>
      <c r="O380" s="16"/>
      <c r="P380" s="16"/>
      <c r="Q380" s="16" t="s">
        <v>100</v>
      </c>
    </row>
    <row r="381" customFormat="false" ht="15" hidden="false" customHeight="false" outlineLevel="0" collapsed="false">
      <c r="A381" s="16" t="n">
        <v>41078</v>
      </c>
      <c r="B381" s="16" t="s">
        <v>2377</v>
      </c>
      <c r="C381" s="16" t="s">
        <v>2378</v>
      </c>
      <c r="D381" s="16" t="s">
        <v>23</v>
      </c>
      <c r="E381" s="16" t="s">
        <v>94</v>
      </c>
      <c r="F381" s="16" t="s">
        <v>2375</v>
      </c>
      <c r="G381" s="16" t="s">
        <v>33</v>
      </c>
      <c r="H381" s="16" t="s">
        <v>44</v>
      </c>
      <c r="I381" s="16" t="s">
        <v>33</v>
      </c>
      <c r="J381" s="16" t="s">
        <v>2379</v>
      </c>
      <c r="K381" s="16" t="n">
        <v>51.5664787292481</v>
      </c>
      <c r="L381" s="16" t="n">
        <v>-0.13907790184021</v>
      </c>
      <c r="M381" s="16" t="s">
        <v>98</v>
      </c>
      <c r="N381" s="16" t="s">
        <v>2380</v>
      </c>
      <c r="O381" s="16"/>
      <c r="P381" s="16" t="s">
        <v>2381</v>
      </c>
      <c r="Q381" s="16" t="s">
        <v>100</v>
      </c>
    </row>
    <row r="382" customFormat="false" ht="15" hidden="false" customHeight="false" outlineLevel="0" collapsed="false">
      <c r="A382" s="16" t="n">
        <v>41083</v>
      </c>
      <c r="B382" s="16" t="s">
        <v>2382</v>
      </c>
      <c r="C382" s="16" t="s">
        <v>2383</v>
      </c>
      <c r="D382" s="16" t="s">
        <v>23</v>
      </c>
      <c r="E382" s="16" t="s">
        <v>94</v>
      </c>
      <c r="F382" s="16" t="s">
        <v>2384</v>
      </c>
      <c r="G382" s="16" t="s">
        <v>2385</v>
      </c>
      <c r="H382" s="16" t="s">
        <v>46</v>
      </c>
      <c r="I382" s="16" t="s">
        <v>29</v>
      </c>
      <c r="J382" s="16" t="s">
        <v>2386</v>
      </c>
      <c r="K382" s="16" t="n">
        <v>51.4329109191895</v>
      </c>
      <c r="L382" s="16" t="n">
        <v>-0.308085978031158</v>
      </c>
      <c r="M382" s="16" t="s">
        <v>98</v>
      </c>
      <c r="N382" s="16" t="s">
        <v>2387</v>
      </c>
      <c r="O382" s="16" t="s">
        <v>2388</v>
      </c>
      <c r="P382" s="16" t="s">
        <v>2389</v>
      </c>
      <c r="Q382" s="16" t="s">
        <v>100</v>
      </c>
    </row>
    <row r="383" customFormat="false" ht="15" hidden="false" customHeight="false" outlineLevel="0" collapsed="false">
      <c r="A383" s="16" t="n">
        <v>41084</v>
      </c>
      <c r="B383" s="16" t="s">
        <v>2390</v>
      </c>
      <c r="C383" s="16" t="s">
        <v>2391</v>
      </c>
      <c r="D383" s="16" t="s">
        <v>23</v>
      </c>
      <c r="E383" s="16" t="s">
        <v>94</v>
      </c>
      <c r="F383" s="16" t="s">
        <v>2384</v>
      </c>
      <c r="G383" s="16" t="s">
        <v>2392</v>
      </c>
      <c r="H383" s="16" t="s">
        <v>510</v>
      </c>
      <c r="I383" s="16" t="s">
        <v>29</v>
      </c>
      <c r="J383" s="16" t="s">
        <v>2393</v>
      </c>
      <c r="K383" s="16" t="n">
        <v>51.3690872192383</v>
      </c>
      <c r="L383" s="16" t="n">
        <v>-0.780985534191132</v>
      </c>
      <c r="M383" s="16" t="s">
        <v>98</v>
      </c>
      <c r="N383" s="16" t="s">
        <v>2394</v>
      </c>
      <c r="O383" s="16"/>
      <c r="P383" s="16" t="s">
        <v>2395</v>
      </c>
      <c r="Q383" s="16" t="s">
        <v>100</v>
      </c>
    </row>
    <row r="384" customFormat="false" ht="15" hidden="false" customHeight="false" outlineLevel="0" collapsed="false">
      <c r="A384" s="16" t="n">
        <v>41089</v>
      </c>
      <c r="B384" s="16" t="s">
        <v>2396</v>
      </c>
      <c r="C384" s="16" t="s">
        <v>2397</v>
      </c>
      <c r="D384" s="16" t="s">
        <v>23</v>
      </c>
      <c r="E384" s="16" t="s">
        <v>94</v>
      </c>
      <c r="F384" s="16" t="s">
        <v>2398</v>
      </c>
      <c r="G384" s="16" t="s">
        <v>2399</v>
      </c>
      <c r="H384" s="16" t="s">
        <v>297</v>
      </c>
      <c r="I384" s="16" t="s">
        <v>34</v>
      </c>
      <c r="J384" s="16" t="s">
        <v>2400</v>
      </c>
      <c r="K384" s="16" t="n">
        <v>52.8845291137695</v>
      </c>
      <c r="L384" s="16" t="n">
        <v>-3.03311491012573</v>
      </c>
      <c r="M384" s="16" t="s">
        <v>98</v>
      </c>
      <c r="N384" s="16" t="s">
        <v>2401</v>
      </c>
      <c r="O384" s="16"/>
      <c r="P384" s="16" t="s">
        <v>2402</v>
      </c>
      <c r="Q384" s="16" t="s">
        <v>100</v>
      </c>
    </row>
    <row r="385" customFormat="false" ht="15" hidden="false" customHeight="false" outlineLevel="0" collapsed="false">
      <c r="A385" s="16" t="n">
        <v>41093</v>
      </c>
      <c r="B385" s="16" t="s">
        <v>2403</v>
      </c>
      <c r="C385" s="16" t="s">
        <v>2404</v>
      </c>
      <c r="D385" s="16" t="s">
        <v>23</v>
      </c>
      <c r="E385" s="16" t="s">
        <v>94</v>
      </c>
      <c r="F385" s="16" t="s">
        <v>2405</v>
      </c>
      <c r="G385" s="16" t="s">
        <v>324</v>
      </c>
      <c r="H385" s="16" t="s">
        <v>34</v>
      </c>
      <c r="I385" s="16" t="s">
        <v>34</v>
      </c>
      <c r="J385" s="16" t="s">
        <v>2406</v>
      </c>
      <c r="K385" s="16" t="n">
        <v>52.5997276306152</v>
      </c>
      <c r="L385" s="16" t="n">
        <v>-2.09554052352905</v>
      </c>
      <c r="M385" s="16" t="s">
        <v>98</v>
      </c>
      <c r="N385" s="16" t="s">
        <v>2407</v>
      </c>
      <c r="O385" s="16" t="s">
        <v>2408</v>
      </c>
      <c r="P385" s="16" t="s">
        <v>2409</v>
      </c>
      <c r="Q385" s="16" t="s">
        <v>100</v>
      </c>
    </row>
    <row r="386" customFormat="false" ht="15" hidden="false" customHeight="false" outlineLevel="0" collapsed="false">
      <c r="A386" s="16" t="n">
        <v>41116</v>
      </c>
      <c r="B386" s="16" t="s">
        <v>2410</v>
      </c>
      <c r="C386" s="16" t="s">
        <v>2411</v>
      </c>
      <c r="D386" s="16" t="s">
        <v>23</v>
      </c>
      <c r="E386" s="16" t="s">
        <v>94</v>
      </c>
      <c r="F386" s="16" t="s">
        <v>2412</v>
      </c>
      <c r="G386" s="16" t="s">
        <v>2413</v>
      </c>
      <c r="H386" s="16" t="s">
        <v>279</v>
      </c>
      <c r="I386" s="16" t="s">
        <v>37</v>
      </c>
      <c r="J386" s="16" t="s">
        <v>2414</v>
      </c>
      <c r="K386" s="16" t="n">
        <v>54.9022102355957</v>
      </c>
      <c r="L386" s="16" t="n">
        <v>-1.41029787063599</v>
      </c>
      <c r="M386" s="16" t="s">
        <v>98</v>
      </c>
      <c r="N386" s="16" t="s">
        <v>2415</v>
      </c>
      <c r="O386" s="16" t="s">
        <v>2416</v>
      </c>
      <c r="P386" s="16" t="s">
        <v>2417</v>
      </c>
      <c r="Q386" s="16" t="s">
        <v>100</v>
      </c>
    </row>
    <row r="387" customFormat="false" ht="15" hidden="false" customHeight="false" outlineLevel="0" collapsed="false">
      <c r="A387" s="16" t="n">
        <v>41117</v>
      </c>
      <c r="B387" s="16" t="s">
        <v>2418</v>
      </c>
      <c r="C387" s="16" t="s">
        <v>2419</v>
      </c>
      <c r="D387" s="16" t="s">
        <v>23</v>
      </c>
      <c r="E387" s="16" t="s">
        <v>94</v>
      </c>
      <c r="F387" s="16" t="s">
        <v>2412</v>
      </c>
      <c r="G387" s="16" t="s">
        <v>2413</v>
      </c>
      <c r="H387" s="16" t="s">
        <v>279</v>
      </c>
      <c r="I387" s="16" t="s">
        <v>37</v>
      </c>
      <c r="J387" s="16" t="s">
        <v>2420</v>
      </c>
      <c r="K387" s="16" t="n">
        <v>54.8890686035156</v>
      </c>
      <c r="L387" s="16" t="n">
        <v>-1.38105666637421</v>
      </c>
      <c r="M387" s="16" t="s">
        <v>98</v>
      </c>
      <c r="N387" s="16" t="s">
        <v>2415</v>
      </c>
      <c r="O387" s="16" t="s">
        <v>2421</v>
      </c>
      <c r="P387" s="16" t="s">
        <v>2422</v>
      </c>
      <c r="Q387" s="16" t="s">
        <v>100</v>
      </c>
    </row>
    <row r="388" customFormat="false" ht="15" hidden="false" customHeight="false" outlineLevel="0" collapsed="false">
      <c r="A388" s="16" t="n">
        <v>41122</v>
      </c>
      <c r="B388" s="16" t="s">
        <v>2423</v>
      </c>
      <c r="C388" s="16" t="s">
        <v>2424</v>
      </c>
      <c r="D388" s="16" t="s">
        <v>23</v>
      </c>
      <c r="E388" s="16" t="s">
        <v>94</v>
      </c>
      <c r="F388" s="16" t="s">
        <v>2425</v>
      </c>
      <c r="G388" s="16" t="s">
        <v>246</v>
      </c>
      <c r="H388" s="16" t="s">
        <v>247</v>
      </c>
      <c r="I388" s="16" t="s">
        <v>34</v>
      </c>
      <c r="J388" s="16" t="s">
        <v>2426</v>
      </c>
      <c r="K388" s="16" t="n">
        <v>52.0587348937988</v>
      </c>
      <c r="L388" s="16" t="n">
        <v>-2.70718026161194</v>
      </c>
      <c r="M388" s="16" t="s">
        <v>98</v>
      </c>
      <c r="N388" s="16" t="s">
        <v>2427</v>
      </c>
      <c r="O388" s="16" t="s">
        <v>2428</v>
      </c>
      <c r="P388" s="16" t="s">
        <v>2429</v>
      </c>
      <c r="Q388" s="16" t="s">
        <v>100</v>
      </c>
    </row>
    <row r="389" customFormat="false" ht="15" hidden="false" customHeight="false" outlineLevel="0" collapsed="false">
      <c r="A389" s="16" t="n">
        <v>41123</v>
      </c>
      <c r="B389" s="16" t="s">
        <v>2430</v>
      </c>
      <c r="C389" s="16" t="s">
        <v>2431</v>
      </c>
      <c r="D389" s="16" t="s">
        <v>23</v>
      </c>
      <c r="E389" s="16" t="s">
        <v>94</v>
      </c>
      <c r="F389" s="16" t="s">
        <v>2425</v>
      </c>
      <c r="G389" s="16" t="s">
        <v>2432</v>
      </c>
      <c r="H389" s="16" t="s">
        <v>2433</v>
      </c>
      <c r="I389" s="16" t="s">
        <v>38</v>
      </c>
      <c r="J389" s="16" t="s">
        <v>2434</v>
      </c>
      <c r="K389" s="16" t="n">
        <v>52.1863288879395</v>
      </c>
      <c r="L389" s="16" t="n">
        <v>-2.50689601898193</v>
      </c>
      <c r="M389" s="16" t="s">
        <v>98</v>
      </c>
      <c r="N389" s="16" t="s">
        <v>2435</v>
      </c>
      <c r="O389" s="16"/>
      <c r="P389" s="16"/>
      <c r="Q389" s="16" t="s">
        <v>100</v>
      </c>
    </row>
    <row r="390" customFormat="false" ht="15" hidden="false" customHeight="false" outlineLevel="0" collapsed="false">
      <c r="A390" s="16" t="n">
        <v>41126</v>
      </c>
      <c r="B390" s="16" t="s">
        <v>2436</v>
      </c>
      <c r="C390" s="16" t="s">
        <v>2437</v>
      </c>
      <c r="D390" s="16" t="s">
        <v>23</v>
      </c>
      <c r="E390" s="16" t="s">
        <v>94</v>
      </c>
      <c r="F390" s="16" t="s">
        <v>2425</v>
      </c>
      <c r="G390" s="16" t="s">
        <v>2438</v>
      </c>
      <c r="H390" s="16" t="s">
        <v>2433</v>
      </c>
      <c r="I390" s="16" t="s">
        <v>38</v>
      </c>
      <c r="J390" s="16" t="s">
        <v>2439</v>
      </c>
      <c r="K390" s="16" t="n">
        <v>52.2221870422363</v>
      </c>
      <c r="L390" s="16" t="n">
        <v>-2.73936033248901</v>
      </c>
      <c r="M390" s="16" t="s">
        <v>98</v>
      </c>
      <c r="N390" s="16" t="s">
        <v>2440</v>
      </c>
      <c r="O390" s="16" t="s">
        <v>2428</v>
      </c>
      <c r="P390" s="16" t="s">
        <v>2429</v>
      </c>
      <c r="Q390" s="16" t="s">
        <v>100</v>
      </c>
    </row>
    <row r="391" customFormat="false" ht="15" hidden="false" customHeight="false" outlineLevel="0" collapsed="false">
      <c r="A391" s="16" t="n">
        <v>41127</v>
      </c>
      <c r="B391" s="16" t="s">
        <v>2441</v>
      </c>
      <c r="C391" s="16" t="s">
        <v>2442</v>
      </c>
      <c r="D391" s="16" t="s">
        <v>23</v>
      </c>
      <c r="E391" s="16" t="s">
        <v>94</v>
      </c>
      <c r="F391" s="16" t="s">
        <v>2425</v>
      </c>
      <c r="G391" s="16" t="s">
        <v>2443</v>
      </c>
      <c r="H391" s="16" t="s">
        <v>247</v>
      </c>
      <c r="I391" s="16" t="s">
        <v>34</v>
      </c>
      <c r="J391" s="16" t="s">
        <v>2444</v>
      </c>
      <c r="K391" s="16" t="n">
        <v>51.9125747680664</v>
      </c>
      <c r="L391" s="16" t="n">
        <v>-2.58338689804077</v>
      </c>
      <c r="M391" s="16" t="s">
        <v>98</v>
      </c>
      <c r="N391" s="16" t="s">
        <v>2445</v>
      </c>
      <c r="O391" s="16" t="s">
        <v>2428</v>
      </c>
      <c r="P391" s="16"/>
      <c r="Q391" s="16" t="s">
        <v>100</v>
      </c>
    </row>
    <row r="392" customFormat="false" ht="15" hidden="false" customHeight="false" outlineLevel="0" collapsed="false">
      <c r="A392" s="16" t="n">
        <v>41134</v>
      </c>
      <c r="B392" s="16" t="s">
        <v>2446</v>
      </c>
      <c r="C392" s="16" t="s">
        <v>2447</v>
      </c>
      <c r="D392" s="16" t="s">
        <v>23</v>
      </c>
      <c r="E392" s="16" t="s">
        <v>94</v>
      </c>
      <c r="F392" s="16" t="s">
        <v>2448</v>
      </c>
      <c r="G392" s="16" t="s">
        <v>2449</v>
      </c>
      <c r="H392" s="16" t="s">
        <v>260</v>
      </c>
      <c r="I392" s="16" t="s">
        <v>34</v>
      </c>
      <c r="J392" s="16" t="s">
        <v>2450</v>
      </c>
      <c r="K392" s="16" t="n">
        <v>52.5125846862793</v>
      </c>
      <c r="L392" s="16" t="n">
        <v>-1.47842454910278</v>
      </c>
      <c r="M392" s="16" t="s">
        <v>98</v>
      </c>
      <c r="N392" s="16" t="s">
        <v>2451</v>
      </c>
      <c r="O392" s="16" t="s">
        <v>2452</v>
      </c>
      <c r="P392" s="16" t="s">
        <v>2453</v>
      </c>
      <c r="Q392" s="16" t="s">
        <v>100</v>
      </c>
    </row>
    <row r="393" customFormat="false" ht="15" hidden="false" customHeight="false" outlineLevel="0" collapsed="false">
      <c r="A393" s="16" t="n">
        <v>41145</v>
      </c>
      <c r="B393" s="16" t="s">
        <v>2454</v>
      </c>
      <c r="C393" s="16" t="s">
        <v>2455</v>
      </c>
      <c r="D393" s="16" t="s">
        <v>23</v>
      </c>
      <c r="E393" s="16" t="s">
        <v>94</v>
      </c>
      <c r="F393" s="16" t="s">
        <v>2456</v>
      </c>
      <c r="G393" s="16" t="s">
        <v>2275</v>
      </c>
      <c r="H393" s="16" t="s">
        <v>285</v>
      </c>
      <c r="I393" s="16" t="s">
        <v>34</v>
      </c>
      <c r="J393" s="16" t="s">
        <v>2457</v>
      </c>
      <c r="K393" s="16" t="n">
        <v>53.0004386901855</v>
      </c>
      <c r="L393" s="16" t="n">
        <v>-2.2082986831665</v>
      </c>
      <c r="M393" s="16" t="s">
        <v>98</v>
      </c>
      <c r="N393" s="16" t="s">
        <v>2458</v>
      </c>
      <c r="O393" s="16"/>
      <c r="P393" s="16"/>
      <c r="Q393" s="16" t="s">
        <v>100</v>
      </c>
    </row>
    <row r="394" customFormat="false" ht="15" hidden="false" customHeight="false" outlineLevel="0" collapsed="false">
      <c r="A394" s="16" t="n">
        <v>41147</v>
      </c>
      <c r="B394" s="16" t="s">
        <v>2459</v>
      </c>
      <c r="C394" s="16" t="s">
        <v>2460</v>
      </c>
      <c r="D394" s="16" t="s">
        <v>23</v>
      </c>
      <c r="E394" s="16" t="s">
        <v>94</v>
      </c>
      <c r="F394" s="16" t="s">
        <v>2461</v>
      </c>
      <c r="G394" s="16" t="s">
        <v>428</v>
      </c>
      <c r="H394" s="16" t="s">
        <v>429</v>
      </c>
      <c r="I394" s="16" t="s">
        <v>32</v>
      </c>
      <c r="J394" s="16" t="s">
        <v>2462</v>
      </c>
      <c r="K394" s="16" t="n">
        <v>52.6175422668457</v>
      </c>
      <c r="L394" s="16" t="n">
        <v>1.22118937969208</v>
      </c>
      <c r="M394" s="16" t="s">
        <v>98</v>
      </c>
      <c r="N394" s="16" t="s">
        <v>2463</v>
      </c>
      <c r="O394" s="16" t="s">
        <v>2464</v>
      </c>
      <c r="P394" s="16" t="s">
        <v>2465</v>
      </c>
      <c r="Q394" s="16" t="s">
        <v>100</v>
      </c>
    </row>
    <row r="395" customFormat="false" ht="15" hidden="false" customHeight="false" outlineLevel="0" collapsed="false">
      <c r="A395" s="16" t="n">
        <v>41155</v>
      </c>
      <c r="B395" s="16" t="s">
        <v>2466</v>
      </c>
      <c r="C395" s="16" t="s">
        <v>2467</v>
      </c>
      <c r="D395" s="16" t="s">
        <v>23</v>
      </c>
      <c r="E395" s="16" t="s">
        <v>94</v>
      </c>
      <c r="F395" s="16" t="s">
        <v>2461</v>
      </c>
      <c r="G395" s="16" t="s">
        <v>2468</v>
      </c>
      <c r="H395" s="16" t="s">
        <v>429</v>
      </c>
      <c r="I395" s="16" t="s">
        <v>32</v>
      </c>
      <c r="J395" s="16" t="s">
        <v>2469</v>
      </c>
      <c r="K395" s="16" t="n">
        <v>52.9235649108887</v>
      </c>
      <c r="L395" s="16" t="n">
        <v>1.30917453765869</v>
      </c>
      <c r="M395" s="16" t="s">
        <v>98</v>
      </c>
      <c r="N395" s="16" t="s">
        <v>2470</v>
      </c>
      <c r="O395" s="16" t="s">
        <v>2464</v>
      </c>
      <c r="P395" s="16" t="s">
        <v>2465</v>
      </c>
      <c r="Q395" s="16" t="s">
        <v>100</v>
      </c>
    </row>
    <row r="396" customFormat="false" ht="15" hidden="false" customHeight="false" outlineLevel="0" collapsed="false">
      <c r="A396" s="16" t="n">
        <v>41161</v>
      </c>
      <c r="B396" s="16" t="s">
        <v>2471</v>
      </c>
      <c r="C396" s="16" t="s">
        <v>2472</v>
      </c>
      <c r="D396" s="16" t="s">
        <v>23</v>
      </c>
      <c r="E396" s="16" t="s">
        <v>94</v>
      </c>
      <c r="F396" s="16" t="s">
        <v>2473</v>
      </c>
      <c r="G396" s="16" t="s">
        <v>1081</v>
      </c>
      <c r="H396" s="16" t="s">
        <v>117</v>
      </c>
      <c r="I396" s="16" t="s">
        <v>31</v>
      </c>
      <c r="J396" s="16" t="s">
        <v>2474</v>
      </c>
      <c r="K396" s="16" t="n">
        <v>53.487548828125</v>
      </c>
      <c r="L396" s="16" t="n">
        <v>-2.32340955734253</v>
      </c>
      <c r="M396" s="16" t="s">
        <v>98</v>
      </c>
      <c r="N396" s="16" t="s">
        <v>2475</v>
      </c>
      <c r="O396" s="16"/>
      <c r="P396" s="16" t="s">
        <v>2476</v>
      </c>
      <c r="Q396" s="16" t="s">
        <v>100</v>
      </c>
    </row>
    <row r="397" customFormat="false" ht="15" hidden="false" customHeight="false" outlineLevel="0" collapsed="false">
      <c r="A397" s="16" t="n">
        <v>41197</v>
      </c>
      <c r="B397" s="16" t="s">
        <v>2477</v>
      </c>
      <c r="C397" s="16" t="s">
        <v>2478</v>
      </c>
      <c r="D397" s="16" t="s">
        <v>23</v>
      </c>
      <c r="E397" s="16" t="s">
        <v>94</v>
      </c>
      <c r="F397" s="16" t="s">
        <v>2479</v>
      </c>
      <c r="G397" s="16" t="s">
        <v>587</v>
      </c>
      <c r="H397" s="16" t="s">
        <v>47</v>
      </c>
      <c r="I397" s="16" t="s">
        <v>31</v>
      </c>
      <c r="J397" s="16" t="s">
        <v>2480</v>
      </c>
      <c r="K397" s="16" t="n">
        <v>53.5539627075195</v>
      </c>
      <c r="L397" s="16" t="n">
        <v>-2.42987871170044</v>
      </c>
      <c r="M397" s="16" t="s">
        <v>98</v>
      </c>
      <c r="N397" s="16" t="s">
        <v>2481</v>
      </c>
      <c r="O397" s="16"/>
      <c r="P397" s="16" t="s">
        <v>2482</v>
      </c>
      <c r="Q397" s="16" t="s">
        <v>100</v>
      </c>
    </row>
    <row r="398" customFormat="false" ht="15" hidden="false" customHeight="false" outlineLevel="0" collapsed="false">
      <c r="A398" s="16" t="n">
        <v>41222</v>
      </c>
      <c r="B398" s="16" t="s">
        <v>2483</v>
      </c>
      <c r="C398" s="16" t="s">
        <v>2484</v>
      </c>
      <c r="D398" s="16" t="s">
        <v>23</v>
      </c>
      <c r="E398" s="16" t="s">
        <v>94</v>
      </c>
      <c r="F398" s="16" t="s">
        <v>2485</v>
      </c>
      <c r="G398" s="16" t="s">
        <v>2486</v>
      </c>
      <c r="H398" s="16" t="s">
        <v>47</v>
      </c>
      <c r="I398" s="16" t="s">
        <v>31</v>
      </c>
      <c r="J398" s="16" t="s">
        <v>2487</v>
      </c>
      <c r="K398" s="16" t="n">
        <v>53.4915351867676</v>
      </c>
      <c r="L398" s="16" t="n">
        <v>-2.07141852378845</v>
      </c>
      <c r="M398" s="16" t="s">
        <v>98</v>
      </c>
      <c r="N398" s="16" t="s">
        <v>2488</v>
      </c>
      <c r="O398" s="16"/>
      <c r="P398" s="16" t="s">
        <v>2489</v>
      </c>
      <c r="Q398" s="16" t="s">
        <v>100</v>
      </c>
    </row>
    <row r="399" customFormat="false" ht="15" hidden="false" customHeight="false" outlineLevel="0" collapsed="false">
      <c r="A399" s="16" t="n">
        <v>41224</v>
      </c>
      <c r="B399" s="16" t="s">
        <v>2490</v>
      </c>
      <c r="C399" s="16" t="s">
        <v>2491</v>
      </c>
      <c r="D399" s="16" t="s">
        <v>23</v>
      </c>
      <c r="E399" s="16" t="s">
        <v>94</v>
      </c>
      <c r="F399" s="16" t="s">
        <v>72</v>
      </c>
      <c r="G399" s="16" t="s">
        <v>428</v>
      </c>
      <c r="H399" s="16" t="s">
        <v>429</v>
      </c>
      <c r="I399" s="16" t="s">
        <v>32</v>
      </c>
      <c r="J399" s="16" t="s">
        <v>2492</v>
      </c>
      <c r="K399" s="16" t="n">
        <v>52.6595306396484</v>
      </c>
      <c r="L399" s="16" t="n">
        <v>1.25088632106781</v>
      </c>
      <c r="M399" s="16" t="s">
        <v>98</v>
      </c>
      <c r="N399" s="16" t="s">
        <v>2493</v>
      </c>
      <c r="O399" s="16"/>
      <c r="P399" s="16" t="s">
        <v>2494</v>
      </c>
      <c r="Q399" s="16" t="s">
        <v>100</v>
      </c>
    </row>
    <row r="400" customFormat="false" ht="15" hidden="false" customHeight="false" outlineLevel="0" collapsed="false">
      <c r="A400" s="16" t="n">
        <v>41225</v>
      </c>
      <c r="B400" s="16" t="s">
        <v>2495</v>
      </c>
      <c r="C400" s="16" t="s">
        <v>2496</v>
      </c>
      <c r="D400" s="16" t="s">
        <v>23</v>
      </c>
      <c r="E400" s="16" t="s">
        <v>94</v>
      </c>
      <c r="F400" s="16" t="s">
        <v>72</v>
      </c>
      <c r="G400" s="16" t="s">
        <v>428</v>
      </c>
      <c r="H400" s="16" t="s">
        <v>429</v>
      </c>
      <c r="I400" s="16" t="s">
        <v>32</v>
      </c>
      <c r="J400" s="16" t="s">
        <v>2497</v>
      </c>
      <c r="K400" s="16" t="n">
        <v>52.6329803466797</v>
      </c>
      <c r="L400" s="16" t="n">
        <v>1.26258957386017</v>
      </c>
      <c r="M400" s="16" t="s">
        <v>98</v>
      </c>
      <c r="N400" s="16" t="s">
        <v>2498</v>
      </c>
      <c r="O400" s="16"/>
      <c r="P400" s="16" t="s">
        <v>2499</v>
      </c>
      <c r="Q400" s="16" t="s">
        <v>100</v>
      </c>
    </row>
    <row r="401" customFormat="false" ht="15" hidden="false" customHeight="false" outlineLevel="0" collapsed="false">
      <c r="A401" s="16" t="n">
        <v>41226</v>
      </c>
      <c r="B401" s="16" t="s">
        <v>2500</v>
      </c>
      <c r="C401" s="16" t="s">
        <v>2501</v>
      </c>
      <c r="D401" s="16" t="s">
        <v>23</v>
      </c>
      <c r="E401" s="16" t="s">
        <v>94</v>
      </c>
      <c r="F401" s="16" t="s">
        <v>72</v>
      </c>
      <c r="G401" s="16" t="s">
        <v>1974</v>
      </c>
      <c r="H401" s="16" t="s">
        <v>429</v>
      </c>
      <c r="I401" s="16" t="s">
        <v>32</v>
      </c>
      <c r="J401" s="16" t="s">
        <v>2502</v>
      </c>
      <c r="K401" s="16" t="n">
        <v>52.6171951293945</v>
      </c>
      <c r="L401" s="16" t="n">
        <v>1.73052072525024</v>
      </c>
      <c r="M401" s="16" t="s">
        <v>98</v>
      </c>
      <c r="N401" s="16" t="s">
        <v>2503</v>
      </c>
      <c r="O401" s="16" t="s">
        <v>2504</v>
      </c>
      <c r="P401" s="16" t="s">
        <v>2505</v>
      </c>
      <c r="Q401" s="16" t="s">
        <v>100</v>
      </c>
    </row>
    <row r="402" customFormat="false" ht="15" hidden="false" customHeight="false" outlineLevel="0" collapsed="false">
      <c r="A402" s="16" t="n">
        <v>41228</v>
      </c>
      <c r="B402" s="16" t="s">
        <v>2506</v>
      </c>
      <c r="C402" s="16" t="s">
        <v>2507</v>
      </c>
      <c r="D402" s="16" t="s">
        <v>23</v>
      </c>
      <c r="E402" s="16" t="s">
        <v>94</v>
      </c>
      <c r="F402" s="16" t="s">
        <v>72</v>
      </c>
      <c r="G402" s="16" t="s">
        <v>2508</v>
      </c>
      <c r="H402" s="16" t="s">
        <v>429</v>
      </c>
      <c r="I402" s="16" t="s">
        <v>32</v>
      </c>
      <c r="J402" s="16" t="s">
        <v>2509</v>
      </c>
      <c r="K402" s="16" t="n">
        <v>52.5178642272949</v>
      </c>
      <c r="L402" s="16" t="n">
        <v>1.01744520664215</v>
      </c>
      <c r="M402" s="16" t="s">
        <v>98</v>
      </c>
      <c r="N402" s="16" t="s">
        <v>2510</v>
      </c>
      <c r="O402" s="16"/>
      <c r="P402" s="16" t="s">
        <v>2511</v>
      </c>
      <c r="Q402" s="16" t="s">
        <v>100</v>
      </c>
    </row>
    <row r="403" customFormat="false" ht="15" hidden="false" customHeight="false" outlineLevel="0" collapsed="false">
      <c r="A403" s="16" t="n">
        <v>41230</v>
      </c>
      <c r="B403" s="16" t="s">
        <v>2512</v>
      </c>
      <c r="C403" s="16" t="s">
        <v>2513</v>
      </c>
      <c r="D403" s="16" t="s">
        <v>23</v>
      </c>
      <c r="E403" s="16" t="s">
        <v>94</v>
      </c>
      <c r="F403" s="16" t="s">
        <v>72</v>
      </c>
      <c r="G403" s="16" t="s">
        <v>2514</v>
      </c>
      <c r="H403" s="16" t="s">
        <v>254</v>
      </c>
      <c r="I403" s="16" t="s">
        <v>32</v>
      </c>
      <c r="J403" s="16" t="s">
        <v>2515</v>
      </c>
      <c r="K403" s="16" t="n">
        <v>52.4533004760742</v>
      </c>
      <c r="L403" s="16" t="n">
        <v>1.69676172733307</v>
      </c>
      <c r="M403" s="16" t="s">
        <v>98</v>
      </c>
      <c r="N403" s="16" t="s">
        <v>2516</v>
      </c>
      <c r="O403" s="16"/>
      <c r="P403" s="16" t="s">
        <v>2499</v>
      </c>
      <c r="Q403" s="16" t="s">
        <v>100</v>
      </c>
    </row>
    <row r="404" customFormat="false" ht="15" hidden="false" customHeight="false" outlineLevel="0" collapsed="false">
      <c r="A404" s="16" t="n">
        <v>41246</v>
      </c>
      <c r="B404" s="16" t="s">
        <v>2517</v>
      </c>
      <c r="C404" s="16" t="s">
        <v>2518</v>
      </c>
      <c r="D404" s="16" t="s">
        <v>23</v>
      </c>
      <c r="E404" s="16" t="s">
        <v>94</v>
      </c>
      <c r="F404" s="16" t="s">
        <v>2519</v>
      </c>
      <c r="G404" s="16" t="s">
        <v>2520</v>
      </c>
      <c r="H404" s="16" t="s">
        <v>714</v>
      </c>
      <c r="I404" s="16" t="s">
        <v>30</v>
      </c>
      <c r="J404" s="16" t="s">
        <v>2521</v>
      </c>
      <c r="K404" s="16" t="n">
        <v>51.4154090881348</v>
      </c>
      <c r="L404" s="16" t="n">
        <v>-1.70491135120392</v>
      </c>
      <c r="M404" s="16" t="s">
        <v>98</v>
      </c>
      <c r="N404" s="16" t="s">
        <v>2522</v>
      </c>
      <c r="O404" s="16"/>
      <c r="P404" s="16" t="s">
        <v>2523</v>
      </c>
      <c r="Q404" s="16" t="s">
        <v>100</v>
      </c>
    </row>
    <row r="405" customFormat="false" ht="15" hidden="false" customHeight="false" outlineLevel="0" collapsed="false">
      <c r="A405" s="16" t="n">
        <v>41247</v>
      </c>
      <c r="B405" s="16" t="s">
        <v>2524</v>
      </c>
      <c r="C405" s="16" t="s">
        <v>2525</v>
      </c>
      <c r="D405" s="16" t="s">
        <v>23</v>
      </c>
      <c r="E405" s="16" t="s">
        <v>94</v>
      </c>
      <c r="F405" s="16" t="s">
        <v>2519</v>
      </c>
      <c r="G405" s="16" t="s">
        <v>713</v>
      </c>
      <c r="H405" s="16" t="s">
        <v>714</v>
      </c>
      <c r="I405" s="16" t="s">
        <v>30</v>
      </c>
      <c r="J405" s="16" t="s">
        <v>2526</v>
      </c>
      <c r="K405" s="16" t="n">
        <v>51.5385322570801</v>
      </c>
      <c r="L405" s="16" t="n">
        <v>-1.72718584537506</v>
      </c>
      <c r="M405" s="16" t="s">
        <v>98</v>
      </c>
      <c r="N405" s="16" t="s">
        <v>2527</v>
      </c>
      <c r="O405" s="16"/>
      <c r="P405" s="16" t="s">
        <v>2528</v>
      </c>
      <c r="Q405" s="16" t="s">
        <v>100</v>
      </c>
    </row>
    <row r="406" customFormat="false" ht="15" hidden="false" customHeight="false" outlineLevel="0" collapsed="false">
      <c r="A406" s="16" t="n">
        <v>41249</v>
      </c>
      <c r="B406" s="16" t="s">
        <v>2529</v>
      </c>
      <c r="C406" s="16" t="s">
        <v>2530</v>
      </c>
      <c r="D406" s="16" t="s">
        <v>23</v>
      </c>
      <c r="E406" s="16" t="s">
        <v>94</v>
      </c>
      <c r="F406" s="16" t="s">
        <v>2519</v>
      </c>
      <c r="G406" s="16" t="s">
        <v>2531</v>
      </c>
      <c r="H406" s="16" t="s">
        <v>714</v>
      </c>
      <c r="I406" s="16" t="s">
        <v>30</v>
      </c>
      <c r="J406" s="16" t="s">
        <v>2532</v>
      </c>
      <c r="K406" s="16" t="n">
        <v>51.4525413513184</v>
      </c>
      <c r="L406" s="16" t="n">
        <v>-2.12669491767883</v>
      </c>
      <c r="M406" s="16" t="s">
        <v>98</v>
      </c>
      <c r="N406" s="16" t="s">
        <v>2533</v>
      </c>
      <c r="O406" s="16"/>
      <c r="P406" s="16" t="s">
        <v>2528</v>
      </c>
      <c r="Q406" s="16" t="s">
        <v>100</v>
      </c>
    </row>
    <row r="407" customFormat="false" ht="15" hidden="false" customHeight="false" outlineLevel="0" collapsed="false">
      <c r="A407" s="16" t="n">
        <v>41250</v>
      </c>
      <c r="B407" s="16" t="s">
        <v>2534</v>
      </c>
      <c r="C407" s="16" t="s">
        <v>2535</v>
      </c>
      <c r="D407" s="16" t="s">
        <v>23</v>
      </c>
      <c r="E407" s="16" t="s">
        <v>94</v>
      </c>
      <c r="F407" s="16" t="s">
        <v>2519</v>
      </c>
      <c r="G407" s="16" t="s">
        <v>2536</v>
      </c>
      <c r="H407" s="16" t="s">
        <v>714</v>
      </c>
      <c r="I407" s="16" t="s">
        <v>30</v>
      </c>
      <c r="J407" s="16" t="s">
        <v>2537</v>
      </c>
      <c r="K407" s="16" t="n">
        <v>51.3252983093262</v>
      </c>
      <c r="L407" s="16" t="n">
        <v>-2.20986819267273</v>
      </c>
      <c r="M407" s="16" t="s">
        <v>98</v>
      </c>
      <c r="N407" s="16" t="s">
        <v>2538</v>
      </c>
      <c r="O407" s="16"/>
      <c r="P407" s="16" t="s">
        <v>2528</v>
      </c>
      <c r="Q407" s="16" t="s">
        <v>100</v>
      </c>
    </row>
    <row r="408" customFormat="false" ht="15" hidden="false" customHeight="false" outlineLevel="0" collapsed="false">
      <c r="A408" s="16" t="n">
        <v>41260</v>
      </c>
      <c r="B408" s="16" t="s">
        <v>2539</v>
      </c>
      <c r="C408" s="16" t="s">
        <v>2540</v>
      </c>
      <c r="D408" s="16" t="s">
        <v>23</v>
      </c>
      <c r="E408" s="16" t="s">
        <v>94</v>
      </c>
      <c r="F408" s="16" t="s">
        <v>2541</v>
      </c>
      <c r="G408" s="16" t="s">
        <v>2542</v>
      </c>
      <c r="H408" s="16" t="s">
        <v>51</v>
      </c>
      <c r="I408" s="16" t="s">
        <v>29</v>
      </c>
      <c r="J408" s="16" t="s">
        <v>2543</v>
      </c>
      <c r="K408" s="16" t="n">
        <v>51.2806358337402</v>
      </c>
      <c r="L408" s="16" t="n">
        <v>-1.10990369319916</v>
      </c>
      <c r="M408" s="16" t="s">
        <v>98</v>
      </c>
      <c r="N408" s="16" t="s">
        <v>2544</v>
      </c>
      <c r="O408" s="16" t="s">
        <v>2545</v>
      </c>
      <c r="P408" s="16" t="s">
        <v>2546</v>
      </c>
      <c r="Q408" s="16" t="s">
        <v>100</v>
      </c>
    </row>
    <row r="409" customFormat="false" ht="15" hidden="false" customHeight="false" outlineLevel="0" collapsed="false">
      <c r="A409" s="16" t="n">
        <v>41261</v>
      </c>
      <c r="B409" s="16" t="s">
        <v>2547</v>
      </c>
      <c r="C409" s="16" t="s">
        <v>2548</v>
      </c>
      <c r="D409" s="16" t="s">
        <v>23</v>
      </c>
      <c r="E409" s="16" t="s">
        <v>94</v>
      </c>
      <c r="F409" s="16" t="s">
        <v>2541</v>
      </c>
      <c r="G409" s="16" t="s">
        <v>728</v>
      </c>
      <c r="H409" s="16" t="s">
        <v>51</v>
      </c>
      <c r="I409" s="16" t="s">
        <v>29</v>
      </c>
      <c r="J409" s="16" t="s">
        <v>2549</v>
      </c>
      <c r="K409" s="16" t="n">
        <v>51.061710357666</v>
      </c>
      <c r="L409" s="16" t="n">
        <v>-1.32915604114533</v>
      </c>
      <c r="M409" s="16" t="s">
        <v>98</v>
      </c>
      <c r="N409" s="16" t="s">
        <v>2550</v>
      </c>
      <c r="O409" s="16" t="s">
        <v>2551</v>
      </c>
      <c r="P409" s="16" t="s">
        <v>2546</v>
      </c>
      <c r="Q409" s="16" t="s">
        <v>100</v>
      </c>
    </row>
    <row r="410" customFormat="false" ht="15" hidden="false" customHeight="false" outlineLevel="0" collapsed="false">
      <c r="A410" s="16" t="n">
        <v>41262</v>
      </c>
      <c r="B410" s="16" t="s">
        <v>2552</v>
      </c>
      <c r="C410" s="16" t="s">
        <v>2553</v>
      </c>
      <c r="D410" s="16" t="s">
        <v>23</v>
      </c>
      <c r="E410" s="16" t="s">
        <v>94</v>
      </c>
      <c r="F410" s="16" t="s">
        <v>2541</v>
      </c>
      <c r="G410" s="16" t="s">
        <v>2554</v>
      </c>
      <c r="H410" s="16" t="s">
        <v>51</v>
      </c>
      <c r="I410" s="16" t="s">
        <v>29</v>
      </c>
      <c r="J410" s="16" t="s">
        <v>2555</v>
      </c>
      <c r="K410" s="16" t="n">
        <v>51.2157402038574</v>
      </c>
      <c r="L410" s="16" t="n">
        <v>-1.49467825889587</v>
      </c>
      <c r="M410" s="16" t="s">
        <v>98</v>
      </c>
      <c r="N410" s="16" t="s">
        <v>2556</v>
      </c>
      <c r="O410" s="16" t="s">
        <v>2551</v>
      </c>
      <c r="P410" s="16" t="s">
        <v>2546</v>
      </c>
      <c r="Q410" s="16" t="s">
        <v>100</v>
      </c>
    </row>
    <row r="411" customFormat="false" ht="15" hidden="false" customHeight="false" outlineLevel="0" collapsed="false">
      <c r="A411" s="16" t="n">
        <v>41265</v>
      </c>
      <c r="B411" s="16" t="s">
        <v>2557</v>
      </c>
      <c r="C411" s="16" t="s">
        <v>2558</v>
      </c>
      <c r="D411" s="16" t="s">
        <v>23</v>
      </c>
      <c r="E411" s="16" t="s">
        <v>94</v>
      </c>
      <c r="F411" s="16" t="s">
        <v>2559</v>
      </c>
      <c r="G411" s="16" t="s">
        <v>2560</v>
      </c>
      <c r="H411" s="16" t="s">
        <v>45</v>
      </c>
      <c r="I411" s="16" t="s">
        <v>29</v>
      </c>
      <c r="J411" s="16" t="s">
        <v>2561</v>
      </c>
      <c r="K411" s="16" t="n">
        <v>51.4349517822266</v>
      </c>
      <c r="L411" s="16" t="n">
        <v>0.258659243583679</v>
      </c>
      <c r="M411" s="16" t="s">
        <v>98</v>
      </c>
      <c r="N411" s="16" t="s">
        <v>2562</v>
      </c>
      <c r="O411" s="16" t="s">
        <v>2563</v>
      </c>
      <c r="P411" s="16" t="s">
        <v>2564</v>
      </c>
      <c r="Q411" s="16" t="s">
        <v>100</v>
      </c>
    </row>
    <row r="412" customFormat="false" ht="15" hidden="false" customHeight="false" outlineLevel="0" collapsed="false">
      <c r="A412" s="16" t="n">
        <v>41268</v>
      </c>
      <c r="B412" s="16" t="s">
        <v>2565</v>
      </c>
      <c r="C412" s="16" t="s">
        <v>2566</v>
      </c>
      <c r="D412" s="16" t="s">
        <v>23</v>
      </c>
      <c r="E412" s="16" t="s">
        <v>94</v>
      </c>
      <c r="F412" s="16" t="s">
        <v>2567</v>
      </c>
      <c r="G412" s="16" t="s">
        <v>2568</v>
      </c>
      <c r="H412" s="16" t="s">
        <v>34</v>
      </c>
      <c r="I412" s="16" t="s">
        <v>34</v>
      </c>
      <c r="J412" s="16" t="s">
        <v>2569</v>
      </c>
      <c r="K412" s="16" t="n">
        <v>52.5029487609863</v>
      </c>
      <c r="L412" s="16" t="n">
        <v>-2.11850309371948</v>
      </c>
      <c r="M412" s="16" t="s">
        <v>98</v>
      </c>
      <c r="N412" s="16" t="s">
        <v>2570</v>
      </c>
      <c r="O412" s="16" t="s">
        <v>2571</v>
      </c>
      <c r="P412" s="16" t="s">
        <v>2572</v>
      </c>
      <c r="Q412" s="16" t="s">
        <v>100</v>
      </c>
    </row>
    <row r="413" customFormat="false" ht="15" hidden="false" customHeight="false" outlineLevel="0" collapsed="false">
      <c r="A413" s="16" t="n">
        <v>41269</v>
      </c>
      <c r="B413" s="16" t="s">
        <v>2573</v>
      </c>
      <c r="C413" s="16" t="s">
        <v>2574</v>
      </c>
      <c r="D413" s="16" t="s">
        <v>23</v>
      </c>
      <c r="E413" s="16" t="s">
        <v>94</v>
      </c>
      <c r="F413" s="16" t="s">
        <v>2567</v>
      </c>
      <c r="G413" s="16" t="s">
        <v>2568</v>
      </c>
      <c r="H413" s="16" t="s">
        <v>34</v>
      </c>
      <c r="I413" s="16" t="s">
        <v>34</v>
      </c>
      <c r="J413" s="16" t="s">
        <v>2575</v>
      </c>
      <c r="K413" s="16" t="n">
        <v>52.5205001831055</v>
      </c>
      <c r="L413" s="16" t="n">
        <v>-2.07271528244019</v>
      </c>
      <c r="M413" s="16" t="s">
        <v>98</v>
      </c>
      <c r="N413" s="16" t="s">
        <v>2570</v>
      </c>
      <c r="O413" s="16" t="s">
        <v>2571</v>
      </c>
      <c r="P413" s="16" t="s">
        <v>2576</v>
      </c>
      <c r="Q413" s="16" t="s">
        <v>100</v>
      </c>
    </row>
    <row r="414" customFormat="false" ht="15" hidden="false" customHeight="false" outlineLevel="0" collapsed="false">
      <c r="A414" s="16" t="n">
        <v>41270</v>
      </c>
      <c r="B414" s="16" t="s">
        <v>2577</v>
      </c>
      <c r="C414" s="16" t="s">
        <v>2578</v>
      </c>
      <c r="D414" s="16" t="s">
        <v>23</v>
      </c>
      <c r="E414" s="16" t="s">
        <v>94</v>
      </c>
      <c r="F414" s="16" t="s">
        <v>2567</v>
      </c>
      <c r="G414" s="16" t="s">
        <v>2579</v>
      </c>
      <c r="H414" s="16" t="s">
        <v>34</v>
      </c>
      <c r="I414" s="16" t="s">
        <v>34</v>
      </c>
      <c r="J414" s="16" t="s">
        <v>2580</v>
      </c>
      <c r="K414" s="16" t="n">
        <v>52.4654083251953</v>
      </c>
      <c r="L414" s="16" t="n">
        <v>-2.14638328552246</v>
      </c>
      <c r="M414" s="16" t="s">
        <v>98</v>
      </c>
      <c r="N414" s="16" t="s">
        <v>2570</v>
      </c>
      <c r="O414" s="16" t="s">
        <v>2571</v>
      </c>
      <c r="P414" s="16" t="s">
        <v>2576</v>
      </c>
      <c r="Q414" s="16" t="s">
        <v>100</v>
      </c>
    </row>
    <row r="415" customFormat="false" ht="15" hidden="false" customHeight="false" outlineLevel="0" collapsed="false">
      <c r="A415" s="16" t="n">
        <v>41302</v>
      </c>
      <c r="B415" s="16" t="s">
        <v>2581</v>
      </c>
      <c r="C415" s="16" t="s">
        <v>2582</v>
      </c>
      <c r="D415" s="16" t="s">
        <v>23</v>
      </c>
      <c r="E415" s="16" t="s">
        <v>94</v>
      </c>
      <c r="F415" s="16" t="s">
        <v>2583</v>
      </c>
      <c r="G415" s="16" t="s">
        <v>2584</v>
      </c>
      <c r="H415" s="16" t="s">
        <v>2585</v>
      </c>
      <c r="I415" s="16" t="s">
        <v>31</v>
      </c>
      <c r="J415" s="16" t="s">
        <v>2586</v>
      </c>
      <c r="K415" s="16" t="n">
        <v>54.8965034484863</v>
      </c>
      <c r="L415" s="16" t="n">
        <v>-2.95777702331543</v>
      </c>
      <c r="M415" s="16" t="s">
        <v>98</v>
      </c>
      <c r="N415" s="16" t="s">
        <v>2587</v>
      </c>
      <c r="O415" s="16"/>
      <c r="P415" s="16" t="s">
        <v>2588</v>
      </c>
      <c r="Q415" s="16" t="s">
        <v>100</v>
      </c>
    </row>
    <row r="416" customFormat="false" ht="15" hidden="false" customHeight="false" outlineLevel="0" collapsed="false">
      <c r="A416" s="16" t="n">
        <v>41311</v>
      </c>
      <c r="B416" s="16" t="s">
        <v>2589</v>
      </c>
      <c r="C416" s="16" t="s">
        <v>2590</v>
      </c>
      <c r="D416" s="16" t="s">
        <v>23</v>
      </c>
      <c r="E416" s="16" t="s">
        <v>94</v>
      </c>
      <c r="F416" s="16" t="s">
        <v>2591</v>
      </c>
      <c r="G416" s="16" t="s">
        <v>2592</v>
      </c>
      <c r="H416" s="16" t="s">
        <v>2433</v>
      </c>
      <c r="I416" s="16" t="s">
        <v>38</v>
      </c>
      <c r="J416" s="16" t="s">
        <v>2593</v>
      </c>
      <c r="K416" s="16" t="n">
        <v>54.6569976806641</v>
      </c>
      <c r="L416" s="16" t="n">
        <v>-2.74325966835022</v>
      </c>
      <c r="M416" s="16" t="s">
        <v>98</v>
      </c>
      <c r="N416" s="16" t="s">
        <v>2594</v>
      </c>
      <c r="O416" s="16"/>
      <c r="P416" s="16" t="s">
        <v>2595</v>
      </c>
      <c r="Q416" s="16" t="s">
        <v>100</v>
      </c>
    </row>
    <row r="417" customFormat="false" ht="15" hidden="false" customHeight="false" outlineLevel="0" collapsed="false">
      <c r="A417" s="16" t="n">
        <v>41316</v>
      </c>
      <c r="B417" s="16" t="s">
        <v>2596</v>
      </c>
      <c r="C417" s="16" t="s">
        <v>2597</v>
      </c>
      <c r="D417" s="16" t="s">
        <v>23</v>
      </c>
      <c r="E417" s="16" t="s">
        <v>94</v>
      </c>
      <c r="F417" s="16" t="s">
        <v>2591</v>
      </c>
      <c r="G417" s="16" t="s">
        <v>2598</v>
      </c>
      <c r="H417" s="16" t="s">
        <v>2585</v>
      </c>
      <c r="I417" s="16" t="s">
        <v>31</v>
      </c>
      <c r="J417" s="16" t="s">
        <v>2599</v>
      </c>
      <c r="K417" s="16" t="n">
        <v>54.6668128967285</v>
      </c>
      <c r="L417" s="16" t="n">
        <v>-3.35858058929443</v>
      </c>
      <c r="M417" s="16" t="s">
        <v>98</v>
      </c>
      <c r="N417" s="16" t="s">
        <v>2600</v>
      </c>
      <c r="O417" s="16"/>
      <c r="P417" s="16" t="s">
        <v>2601</v>
      </c>
      <c r="Q417" s="16" t="s">
        <v>100</v>
      </c>
    </row>
    <row r="418" customFormat="false" ht="15" hidden="false" customHeight="false" outlineLevel="0" collapsed="false">
      <c r="A418" s="16" t="n">
        <v>41341</v>
      </c>
      <c r="B418" s="16" t="s">
        <v>2602</v>
      </c>
      <c r="C418" s="16" t="s">
        <v>2603</v>
      </c>
      <c r="D418" s="16" t="s">
        <v>23</v>
      </c>
      <c r="E418" s="16" t="s">
        <v>94</v>
      </c>
      <c r="F418" s="16" t="s">
        <v>2604</v>
      </c>
      <c r="G418" s="16" t="s">
        <v>1149</v>
      </c>
      <c r="H418" s="16" t="s">
        <v>769</v>
      </c>
      <c r="I418" s="16" t="s">
        <v>36</v>
      </c>
      <c r="J418" s="16" t="s">
        <v>2605</v>
      </c>
      <c r="K418" s="16" t="n">
        <v>52.4011459350586</v>
      </c>
      <c r="L418" s="16" t="n">
        <v>-0.741529107093811</v>
      </c>
      <c r="M418" s="16" t="s">
        <v>98</v>
      </c>
      <c r="N418" s="16" t="s">
        <v>2606</v>
      </c>
      <c r="O418" s="16" t="s">
        <v>2607</v>
      </c>
      <c r="P418" s="16" t="s">
        <v>2608</v>
      </c>
      <c r="Q418" s="16" t="s">
        <v>100</v>
      </c>
    </row>
    <row r="419" customFormat="false" ht="15" hidden="false" customHeight="false" outlineLevel="0" collapsed="false">
      <c r="A419" s="16" t="n">
        <v>41354</v>
      </c>
      <c r="B419" s="16" t="s">
        <v>2609</v>
      </c>
      <c r="C419" s="16" t="s">
        <v>2610</v>
      </c>
      <c r="D419" s="16" t="s">
        <v>23</v>
      </c>
      <c r="E419" s="16" t="s">
        <v>94</v>
      </c>
      <c r="F419" s="16" t="s">
        <v>2611</v>
      </c>
      <c r="G419" s="16" t="s">
        <v>1067</v>
      </c>
      <c r="H419" s="16" t="s">
        <v>714</v>
      </c>
      <c r="I419" s="16" t="s">
        <v>30</v>
      </c>
      <c r="J419" s="16" t="s">
        <v>2612</v>
      </c>
      <c r="K419" s="16" t="n">
        <v>51.0439491271973</v>
      </c>
      <c r="L419" s="16" t="n">
        <v>-1.78980851173401</v>
      </c>
      <c r="M419" s="16" t="s">
        <v>98</v>
      </c>
      <c r="N419" s="16" t="s">
        <v>2613</v>
      </c>
      <c r="O419" s="16" t="s">
        <v>2614</v>
      </c>
      <c r="P419" s="16" t="s">
        <v>2615</v>
      </c>
      <c r="Q419" s="16" t="s">
        <v>100</v>
      </c>
    </row>
    <row r="420" customFormat="false" ht="15" hidden="false" customHeight="false" outlineLevel="0" collapsed="false">
      <c r="A420" s="16" t="n">
        <v>41366</v>
      </c>
      <c r="B420" s="16" t="s">
        <v>2616</v>
      </c>
      <c r="C420" s="16" t="s">
        <v>2617</v>
      </c>
      <c r="D420" s="16" t="s">
        <v>23</v>
      </c>
      <c r="E420" s="16" t="s">
        <v>94</v>
      </c>
      <c r="F420" s="16" t="s">
        <v>2611</v>
      </c>
      <c r="G420" s="16" t="s">
        <v>2618</v>
      </c>
      <c r="H420" s="16" t="s">
        <v>714</v>
      </c>
      <c r="I420" s="16" t="s">
        <v>30</v>
      </c>
      <c r="J420" s="16" t="s">
        <v>2619</v>
      </c>
      <c r="K420" s="16" t="n">
        <v>51.3545837402344</v>
      </c>
      <c r="L420" s="16" t="n">
        <v>-1.99321591854095</v>
      </c>
      <c r="M420" s="16" t="s">
        <v>98</v>
      </c>
      <c r="N420" s="16"/>
      <c r="O420" s="16"/>
      <c r="P420" s="16"/>
      <c r="Q420" s="16" t="s">
        <v>100</v>
      </c>
    </row>
    <row r="421" customFormat="false" ht="15" hidden="false" customHeight="false" outlineLevel="0" collapsed="false">
      <c r="A421" s="16" t="n">
        <v>41381</v>
      </c>
      <c r="B421" s="16" t="s">
        <v>2620</v>
      </c>
      <c r="C421" s="16" t="s">
        <v>1943</v>
      </c>
      <c r="D421" s="16" t="s">
        <v>23</v>
      </c>
      <c r="E421" s="16" t="s">
        <v>94</v>
      </c>
      <c r="F421" s="16" t="s">
        <v>2621</v>
      </c>
      <c r="G421" s="16" t="s">
        <v>1149</v>
      </c>
      <c r="H421" s="16" t="s">
        <v>769</v>
      </c>
      <c r="I421" s="16" t="s">
        <v>36</v>
      </c>
      <c r="J421" s="16" t="s">
        <v>2622</v>
      </c>
      <c r="K421" s="16" t="n">
        <v>52.394100189209</v>
      </c>
      <c r="L421" s="16" t="n">
        <v>-0.722185015678406</v>
      </c>
      <c r="M421" s="16" t="s">
        <v>98</v>
      </c>
      <c r="N421" s="16" t="s">
        <v>2623</v>
      </c>
      <c r="O421" s="16"/>
      <c r="P421" s="16" t="s">
        <v>2624</v>
      </c>
      <c r="Q421" s="16" t="s">
        <v>100</v>
      </c>
    </row>
    <row r="422" customFormat="false" ht="15" hidden="false" customHeight="false" outlineLevel="0" collapsed="false">
      <c r="A422" s="16" t="n">
        <v>41384</v>
      </c>
      <c r="B422" s="16" t="s">
        <v>2625</v>
      </c>
      <c r="C422" s="16" t="s">
        <v>2626</v>
      </c>
      <c r="D422" s="16" t="s">
        <v>23</v>
      </c>
      <c r="E422" s="16" t="s">
        <v>94</v>
      </c>
      <c r="F422" s="16" t="s">
        <v>2621</v>
      </c>
      <c r="G422" s="16" t="s">
        <v>2627</v>
      </c>
      <c r="H422" s="16" t="s">
        <v>769</v>
      </c>
      <c r="I422" s="16" t="s">
        <v>36</v>
      </c>
      <c r="J422" s="16" t="s">
        <v>2628</v>
      </c>
      <c r="K422" s="16" t="n">
        <v>52.2976722717285</v>
      </c>
      <c r="L422" s="16" t="n">
        <v>-0.683344125747681</v>
      </c>
      <c r="M422" s="16" t="s">
        <v>98</v>
      </c>
      <c r="N422" s="16" t="s">
        <v>2629</v>
      </c>
      <c r="O422" s="16"/>
      <c r="P422" s="16"/>
      <c r="Q422" s="16" t="s">
        <v>100</v>
      </c>
    </row>
    <row r="423" customFormat="false" ht="15" hidden="false" customHeight="false" outlineLevel="0" collapsed="false">
      <c r="A423" s="16" t="n">
        <v>41403</v>
      </c>
      <c r="B423" s="16" t="s">
        <v>2630</v>
      </c>
      <c r="C423" s="16" t="s">
        <v>2631</v>
      </c>
      <c r="D423" s="16" t="s">
        <v>23</v>
      </c>
      <c r="E423" s="16" t="s">
        <v>94</v>
      </c>
      <c r="F423" s="16" t="s">
        <v>2632</v>
      </c>
      <c r="G423" s="16" t="s">
        <v>33</v>
      </c>
      <c r="H423" s="16" t="s">
        <v>44</v>
      </c>
      <c r="I423" s="16" t="s">
        <v>33</v>
      </c>
      <c r="J423" s="16" t="s">
        <v>2633</v>
      </c>
      <c r="K423" s="16" t="n">
        <v>51.5222091674805</v>
      </c>
      <c r="L423" s="16" t="n">
        <v>-0.119909524917603</v>
      </c>
      <c r="M423" s="16" t="s">
        <v>98</v>
      </c>
      <c r="N423" s="16" t="s">
        <v>2634</v>
      </c>
      <c r="O423" s="16"/>
      <c r="P423" s="16" t="s">
        <v>2635</v>
      </c>
      <c r="Q423" s="16" t="s">
        <v>100</v>
      </c>
    </row>
    <row r="424" customFormat="false" ht="15" hidden="false" customHeight="false" outlineLevel="0" collapsed="false">
      <c r="A424" s="16" t="n">
        <v>41405</v>
      </c>
      <c r="B424" s="16" t="s">
        <v>2636</v>
      </c>
      <c r="C424" s="16" t="s">
        <v>2637</v>
      </c>
      <c r="D424" s="16" t="s">
        <v>23</v>
      </c>
      <c r="E424" s="16" t="s">
        <v>94</v>
      </c>
      <c r="F424" s="16" t="s">
        <v>2638</v>
      </c>
      <c r="G424" s="16" t="s">
        <v>2639</v>
      </c>
      <c r="H424" s="16" t="s">
        <v>694</v>
      </c>
      <c r="I424" s="16" t="s">
        <v>36</v>
      </c>
      <c r="J424" s="16" t="s">
        <v>2640</v>
      </c>
      <c r="K424" s="16" t="n">
        <v>53.3165550231934</v>
      </c>
      <c r="L424" s="16" t="n">
        <v>-1.11026883125305</v>
      </c>
      <c r="M424" s="16" t="s">
        <v>98</v>
      </c>
      <c r="N424" s="16" t="s">
        <v>2641</v>
      </c>
      <c r="O424" s="16"/>
      <c r="P424" s="16" t="s">
        <v>2642</v>
      </c>
      <c r="Q424" s="16" t="s">
        <v>100</v>
      </c>
    </row>
    <row r="425" customFormat="false" ht="15" hidden="false" customHeight="false" outlineLevel="0" collapsed="false">
      <c r="A425" s="16" t="n">
        <v>41406</v>
      </c>
      <c r="B425" s="16" t="s">
        <v>2643</v>
      </c>
      <c r="C425" s="16" t="s">
        <v>2644</v>
      </c>
      <c r="D425" s="16" t="s">
        <v>23</v>
      </c>
      <c r="E425" s="16" t="s">
        <v>94</v>
      </c>
      <c r="F425" s="16" t="s">
        <v>2638</v>
      </c>
      <c r="G425" s="16" t="s">
        <v>1095</v>
      </c>
      <c r="H425" s="16" t="s">
        <v>1915</v>
      </c>
      <c r="I425" s="16" t="s">
        <v>35</v>
      </c>
      <c r="J425" s="16" t="s">
        <v>2645</v>
      </c>
      <c r="K425" s="16" t="n">
        <v>53.5307846069336</v>
      </c>
      <c r="L425" s="16" t="n">
        <v>-1.10892391204834</v>
      </c>
      <c r="M425" s="16" t="s">
        <v>98</v>
      </c>
      <c r="N425" s="16" t="s">
        <v>2646</v>
      </c>
      <c r="O425" s="16"/>
      <c r="P425" s="16" t="s">
        <v>2642</v>
      </c>
      <c r="Q425" s="16" t="s">
        <v>100</v>
      </c>
    </row>
    <row r="426" customFormat="false" ht="15" hidden="false" customHeight="false" outlineLevel="0" collapsed="false">
      <c r="A426" s="16" t="n">
        <v>41408</v>
      </c>
      <c r="B426" s="16" t="s">
        <v>2647</v>
      </c>
      <c r="C426" s="16" t="s">
        <v>2648</v>
      </c>
      <c r="D426" s="16" t="s">
        <v>23</v>
      </c>
      <c r="E426" s="16" t="s">
        <v>94</v>
      </c>
      <c r="F426" s="16" t="s">
        <v>2638</v>
      </c>
      <c r="G426" s="16" t="s">
        <v>2649</v>
      </c>
      <c r="H426" s="16" t="s">
        <v>762</v>
      </c>
      <c r="I426" s="16" t="s">
        <v>35</v>
      </c>
      <c r="J426" s="16" t="s">
        <v>2650</v>
      </c>
      <c r="K426" s="16" t="n">
        <v>53.4998168945313</v>
      </c>
      <c r="L426" s="16" t="n">
        <v>-1.28493142127991</v>
      </c>
      <c r="M426" s="16" t="s">
        <v>98</v>
      </c>
      <c r="N426" s="16" t="s">
        <v>2651</v>
      </c>
      <c r="O426" s="16"/>
      <c r="P426" s="16" t="s">
        <v>2652</v>
      </c>
      <c r="Q426" s="16" t="s">
        <v>100</v>
      </c>
    </row>
    <row r="427" customFormat="false" ht="15" hidden="false" customHeight="false" outlineLevel="0" collapsed="false">
      <c r="A427" s="16" t="n">
        <v>41409</v>
      </c>
      <c r="B427" s="16" t="s">
        <v>2653</v>
      </c>
      <c r="C427" s="16" t="s">
        <v>2654</v>
      </c>
      <c r="D427" s="16" t="s">
        <v>23</v>
      </c>
      <c r="E427" s="16" t="s">
        <v>94</v>
      </c>
      <c r="F427" s="16" t="s">
        <v>2638</v>
      </c>
      <c r="G427" s="16" t="s">
        <v>2114</v>
      </c>
      <c r="H427" s="16" t="s">
        <v>694</v>
      </c>
      <c r="I427" s="16" t="s">
        <v>36</v>
      </c>
      <c r="J427" s="16" t="s">
        <v>2655</v>
      </c>
      <c r="K427" s="16" t="n">
        <v>53.3254508972168</v>
      </c>
      <c r="L427" s="16" t="n">
        <v>-0.950618624687195</v>
      </c>
      <c r="M427" s="16" t="s">
        <v>98</v>
      </c>
      <c r="N427" s="16" t="s">
        <v>2656</v>
      </c>
      <c r="O427" s="16"/>
      <c r="P427" s="16" t="s">
        <v>2652</v>
      </c>
      <c r="Q427" s="16" t="s">
        <v>100</v>
      </c>
    </row>
    <row r="428" customFormat="false" ht="15" hidden="false" customHeight="false" outlineLevel="0" collapsed="false">
      <c r="A428" s="16" t="n">
        <v>41412</v>
      </c>
      <c r="B428" s="16" t="s">
        <v>2657</v>
      </c>
      <c r="C428" s="16" t="s">
        <v>2658</v>
      </c>
      <c r="D428" s="16" t="s">
        <v>23</v>
      </c>
      <c r="E428" s="16" t="s">
        <v>94</v>
      </c>
      <c r="F428" s="16" t="s">
        <v>2659</v>
      </c>
      <c r="G428" s="16" t="s">
        <v>33</v>
      </c>
      <c r="H428" s="16" t="s">
        <v>44</v>
      </c>
      <c r="I428" s="16" t="s">
        <v>33</v>
      </c>
      <c r="J428" s="16" t="s">
        <v>2660</v>
      </c>
      <c r="K428" s="16" t="n">
        <v>51.5272445678711</v>
      </c>
      <c r="L428" s="16" t="n">
        <v>-0.0898742750287055</v>
      </c>
      <c r="M428" s="16" t="s">
        <v>98</v>
      </c>
      <c r="N428" s="16" t="s">
        <v>2661</v>
      </c>
      <c r="O428" s="16"/>
      <c r="P428" s="16" t="s">
        <v>2662</v>
      </c>
      <c r="Q428" s="16" t="s">
        <v>100</v>
      </c>
    </row>
    <row r="429" customFormat="false" ht="15" hidden="false" customHeight="false" outlineLevel="0" collapsed="false">
      <c r="A429" s="16" t="n">
        <v>41431</v>
      </c>
      <c r="B429" s="16" t="s">
        <v>2663</v>
      </c>
      <c r="C429" s="16" t="s">
        <v>2664</v>
      </c>
      <c r="D429" s="16" t="s">
        <v>23</v>
      </c>
      <c r="E429" s="16" t="s">
        <v>94</v>
      </c>
      <c r="F429" s="16" t="s">
        <v>2665</v>
      </c>
      <c r="G429" s="16" t="s">
        <v>2666</v>
      </c>
      <c r="H429" s="16" t="s">
        <v>814</v>
      </c>
      <c r="I429" s="16" t="s">
        <v>36</v>
      </c>
      <c r="J429" s="16" t="s">
        <v>2667</v>
      </c>
      <c r="K429" s="16" t="n">
        <v>53.2428359985352</v>
      </c>
      <c r="L429" s="16" t="n">
        <v>-0.557784676551819</v>
      </c>
      <c r="M429" s="16" t="s">
        <v>98</v>
      </c>
      <c r="N429" s="16" t="s">
        <v>2668</v>
      </c>
      <c r="O429" s="16"/>
      <c r="P429" s="16"/>
      <c r="Q429" s="16" t="s">
        <v>100</v>
      </c>
    </row>
    <row r="430" customFormat="false" ht="15" hidden="false" customHeight="false" outlineLevel="0" collapsed="false">
      <c r="A430" s="16" t="n">
        <v>41437</v>
      </c>
      <c r="B430" s="16" t="s">
        <v>2669</v>
      </c>
      <c r="C430" s="16" t="s">
        <v>2670</v>
      </c>
      <c r="D430" s="16" t="s">
        <v>23</v>
      </c>
      <c r="E430" s="16" t="s">
        <v>94</v>
      </c>
      <c r="F430" s="16" t="s">
        <v>2665</v>
      </c>
      <c r="G430" s="16" t="s">
        <v>813</v>
      </c>
      <c r="H430" s="16" t="s">
        <v>814</v>
      </c>
      <c r="I430" s="16" t="s">
        <v>36</v>
      </c>
      <c r="J430" s="16" t="s">
        <v>2671</v>
      </c>
      <c r="K430" s="16" t="n">
        <v>53.2335777282715</v>
      </c>
      <c r="L430" s="16" t="n">
        <v>-0.519620180130005</v>
      </c>
      <c r="M430" s="16" t="s">
        <v>98</v>
      </c>
      <c r="N430" s="16" t="s">
        <v>2672</v>
      </c>
      <c r="O430" s="16"/>
      <c r="P430" s="16"/>
      <c r="Q430" s="16" t="s">
        <v>100</v>
      </c>
    </row>
    <row r="431" customFormat="false" ht="15" hidden="false" customHeight="false" outlineLevel="0" collapsed="false">
      <c r="A431" s="16" t="n">
        <v>41438</v>
      </c>
      <c r="B431" s="16" t="s">
        <v>2673</v>
      </c>
      <c r="C431" s="16" t="s">
        <v>2674</v>
      </c>
      <c r="D431" s="16" t="s">
        <v>23</v>
      </c>
      <c r="E431" s="16" t="s">
        <v>94</v>
      </c>
      <c r="F431" s="16" t="s">
        <v>2665</v>
      </c>
      <c r="G431" s="16" t="s">
        <v>2675</v>
      </c>
      <c r="H431" s="16" t="s">
        <v>814</v>
      </c>
      <c r="I431" s="16" t="s">
        <v>36</v>
      </c>
      <c r="J431" s="16" t="s">
        <v>2676</v>
      </c>
      <c r="K431" s="16" t="n">
        <v>52.9210891723633</v>
      </c>
      <c r="L431" s="16" t="n">
        <v>-0.640699148178101</v>
      </c>
      <c r="M431" s="16" t="s">
        <v>98</v>
      </c>
      <c r="N431" s="16" t="s">
        <v>2677</v>
      </c>
      <c r="O431" s="16"/>
      <c r="P431" s="16"/>
      <c r="Q431" s="16" t="s">
        <v>100</v>
      </c>
    </row>
    <row r="432" customFormat="false" ht="15" hidden="false" customHeight="false" outlineLevel="0" collapsed="false">
      <c r="A432" s="16" t="n">
        <v>41440</v>
      </c>
      <c r="B432" s="16" t="s">
        <v>2678</v>
      </c>
      <c r="C432" s="16" t="s">
        <v>2679</v>
      </c>
      <c r="D432" s="16" t="s">
        <v>23</v>
      </c>
      <c r="E432" s="16" t="s">
        <v>94</v>
      </c>
      <c r="F432" s="16" t="s">
        <v>2680</v>
      </c>
      <c r="G432" s="16" t="s">
        <v>2681</v>
      </c>
      <c r="H432" s="16" t="s">
        <v>45</v>
      </c>
      <c r="I432" s="16" t="s">
        <v>29</v>
      </c>
      <c r="J432" s="16" t="s">
        <v>2682</v>
      </c>
      <c r="K432" s="16" t="n">
        <v>51.3798599243164</v>
      </c>
      <c r="L432" s="16" t="n">
        <v>0.542076051235199</v>
      </c>
      <c r="M432" s="16" t="s">
        <v>98</v>
      </c>
      <c r="N432" s="16" t="s">
        <v>2683</v>
      </c>
      <c r="O432" s="16" t="s">
        <v>2684</v>
      </c>
      <c r="P432" s="16" t="s">
        <v>2685</v>
      </c>
      <c r="Q432" s="16" t="s">
        <v>100</v>
      </c>
    </row>
    <row r="433" customFormat="false" ht="15" hidden="false" customHeight="false" outlineLevel="0" collapsed="false">
      <c r="A433" s="16" t="n">
        <v>41475</v>
      </c>
      <c r="B433" s="16" t="s">
        <v>2686</v>
      </c>
      <c r="C433" s="16" t="s">
        <v>2687</v>
      </c>
      <c r="D433" s="16" t="s">
        <v>23</v>
      </c>
      <c r="E433" s="16" t="s">
        <v>94</v>
      </c>
      <c r="F433" s="16" t="s">
        <v>2688</v>
      </c>
      <c r="G433" s="16" t="s">
        <v>2689</v>
      </c>
      <c r="H433" s="16" t="s">
        <v>214</v>
      </c>
      <c r="I433" s="16" t="s">
        <v>29</v>
      </c>
      <c r="J433" s="16" t="s">
        <v>2690</v>
      </c>
      <c r="K433" s="16" t="n">
        <v>51.1350746154785</v>
      </c>
      <c r="L433" s="16" t="n">
        <v>-0.0028860417660325</v>
      </c>
      <c r="M433" s="16" t="s">
        <v>98</v>
      </c>
      <c r="N433" s="16" t="s">
        <v>2691</v>
      </c>
      <c r="O433" s="16" t="s">
        <v>2692</v>
      </c>
      <c r="P433" s="16" t="s">
        <v>2693</v>
      </c>
      <c r="Q433" s="16" t="s">
        <v>100</v>
      </c>
    </row>
    <row r="434" customFormat="false" ht="15" hidden="false" customHeight="false" outlineLevel="0" collapsed="false">
      <c r="A434" s="16" t="n">
        <v>41493</v>
      </c>
      <c r="B434" s="16" t="s">
        <v>2694</v>
      </c>
      <c r="C434" s="16" t="s">
        <v>2695</v>
      </c>
      <c r="D434" s="16" t="s">
        <v>23</v>
      </c>
      <c r="E434" s="16" t="s">
        <v>94</v>
      </c>
      <c r="F434" s="16" t="s">
        <v>2696</v>
      </c>
      <c r="G434" s="16" t="s">
        <v>613</v>
      </c>
      <c r="H434" s="16" t="s">
        <v>45</v>
      </c>
      <c r="I434" s="16" t="s">
        <v>29</v>
      </c>
      <c r="J434" s="16" t="s">
        <v>2697</v>
      </c>
      <c r="K434" s="16" t="n">
        <v>51.3660697937012</v>
      </c>
      <c r="L434" s="16" t="n">
        <v>0.0566820576786994</v>
      </c>
      <c r="M434" s="16" t="s">
        <v>98</v>
      </c>
      <c r="N434" s="16" t="s">
        <v>2698</v>
      </c>
      <c r="O434" s="16"/>
      <c r="P434" s="16"/>
      <c r="Q434" s="16" t="s">
        <v>100</v>
      </c>
    </row>
    <row r="435" customFormat="false" ht="15" hidden="false" customHeight="false" outlineLevel="0" collapsed="false">
      <c r="A435" s="16" t="n">
        <v>41494</v>
      </c>
      <c r="B435" s="16" t="s">
        <v>2699</v>
      </c>
      <c r="C435" s="16" t="s">
        <v>2700</v>
      </c>
      <c r="D435" s="16" t="s">
        <v>23</v>
      </c>
      <c r="E435" s="16" t="s">
        <v>94</v>
      </c>
      <c r="F435" s="16" t="s">
        <v>2696</v>
      </c>
      <c r="G435" s="16" t="s">
        <v>33</v>
      </c>
      <c r="H435" s="16" t="s">
        <v>44</v>
      </c>
      <c r="I435" s="16" t="s">
        <v>33</v>
      </c>
      <c r="J435" s="16" t="s">
        <v>2701</v>
      </c>
      <c r="K435" s="16" t="n">
        <v>51.4781913757324</v>
      </c>
      <c r="L435" s="16" t="n">
        <v>0.0500571094453334</v>
      </c>
      <c r="M435" s="16" t="s">
        <v>98</v>
      </c>
      <c r="N435" s="16" t="s">
        <v>2702</v>
      </c>
      <c r="O435" s="16"/>
      <c r="P435" s="16" t="s">
        <v>2703</v>
      </c>
      <c r="Q435" s="16" t="s">
        <v>100</v>
      </c>
    </row>
    <row r="436" customFormat="false" ht="15" hidden="false" customHeight="false" outlineLevel="0" collapsed="false">
      <c r="A436" s="16" t="n">
        <v>41495</v>
      </c>
      <c r="B436" s="16" t="s">
        <v>2704</v>
      </c>
      <c r="C436" s="16" t="s">
        <v>2705</v>
      </c>
      <c r="D436" s="16" t="s">
        <v>23</v>
      </c>
      <c r="E436" s="16" t="s">
        <v>94</v>
      </c>
      <c r="F436" s="16" t="s">
        <v>2696</v>
      </c>
      <c r="G436" s="16" t="s">
        <v>33</v>
      </c>
      <c r="H436" s="16" t="s">
        <v>44</v>
      </c>
      <c r="I436" s="16" t="s">
        <v>33</v>
      </c>
      <c r="J436" s="16" t="s">
        <v>2706</v>
      </c>
      <c r="K436" s="16" t="n">
        <v>51.4685745239258</v>
      </c>
      <c r="L436" s="16" t="n">
        <v>0.0641250759363174</v>
      </c>
      <c r="M436" s="16" t="s">
        <v>98</v>
      </c>
      <c r="N436" s="16" t="s">
        <v>2707</v>
      </c>
      <c r="O436" s="16"/>
      <c r="P436" s="16" t="s">
        <v>2703</v>
      </c>
      <c r="Q436" s="16" t="s">
        <v>100</v>
      </c>
    </row>
    <row r="437" customFormat="false" ht="15" hidden="false" customHeight="false" outlineLevel="0" collapsed="false">
      <c r="A437" s="16" t="n">
        <v>41496</v>
      </c>
      <c r="B437" s="16" t="s">
        <v>2708</v>
      </c>
      <c r="C437" s="16" t="s">
        <v>2709</v>
      </c>
      <c r="D437" s="16" t="s">
        <v>23</v>
      </c>
      <c r="E437" s="16" t="s">
        <v>94</v>
      </c>
      <c r="F437" s="16" t="s">
        <v>2696</v>
      </c>
      <c r="G437" s="16" t="s">
        <v>2710</v>
      </c>
      <c r="H437" s="16" t="s">
        <v>45</v>
      </c>
      <c r="I437" s="16" t="s">
        <v>29</v>
      </c>
      <c r="J437" s="16" t="s">
        <v>2711</v>
      </c>
      <c r="K437" s="16" t="n">
        <v>51.4190406799316</v>
      </c>
      <c r="L437" s="16" t="n">
        <v>0.10167533159256</v>
      </c>
      <c r="M437" s="16" t="s">
        <v>98</v>
      </c>
      <c r="N437" s="16" t="s">
        <v>2712</v>
      </c>
      <c r="O437" s="16"/>
      <c r="P437" s="16" t="s">
        <v>2713</v>
      </c>
      <c r="Q437" s="16" t="s">
        <v>100</v>
      </c>
    </row>
    <row r="438" customFormat="false" ht="15" hidden="false" customHeight="false" outlineLevel="0" collapsed="false">
      <c r="A438" s="16" t="n">
        <v>41504</v>
      </c>
      <c r="B438" s="16" t="s">
        <v>2714</v>
      </c>
      <c r="C438" s="16" t="s">
        <v>2715</v>
      </c>
      <c r="D438" s="16" t="s">
        <v>23</v>
      </c>
      <c r="E438" s="16" t="s">
        <v>94</v>
      </c>
      <c r="F438" s="16" t="s">
        <v>2716</v>
      </c>
      <c r="G438" s="16" t="s">
        <v>33</v>
      </c>
      <c r="H438" s="16" t="s">
        <v>44</v>
      </c>
      <c r="I438" s="16" t="s">
        <v>33</v>
      </c>
      <c r="J438" s="16" t="s">
        <v>2717</v>
      </c>
      <c r="K438" s="16" t="n">
        <v>51.4905624389649</v>
      </c>
      <c r="L438" s="16" t="n">
        <v>-0.172550782561302</v>
      </c>
      <c r="M438" s="16" t="s">
        <v>98</v>
      </c>
      <c r="N438" s="16" t="s">
        <v>2718</v>
      </c>
      <c r="O438" s="16" t="s">
        <v>2719</v>
      </c>
      <c r="P438" s="16" t="s">
        <v>2720</v>
      </c>
      <c r="Q438" s="16" t="s">
        <v>100</v>
      </c>
    </row>
    <row r="439" customFormat="false" ht="15" hidden="false" customHeight="false" outlineLevel="0" collapsed="false">
      <c r="A439" s="16" t="n">
        <v>41505</v>
      </c>
      <c r="B439" s="16" t="s">
        <v>2721</v>
      </c>
      <c r="C439" s="16" t="s">
        <v>2722</v>
      </c>
      <c r="D439" s="16" t="s">
        <v>23</v>
      </c>
      <c r="E439" s="16" t="s">
        <v>94</v>
      </c>
      <c r="F439" s="16" t="s">
        <v>2716</v>
      </c>
      <c r="G439" s="16" t="s">
        <v>2723</v>
      </c>
      <c r="H439" s="16" t="s">
        <v>46</v>
      </c>
      <c r="I439" s="16" t="s">
        <v>29</v>
      </c>
      <c r="J439" s="16" t="s">
        <v>2724</v>
      </c>
      <c r="K439" s="16" t="n">
        <v>51.3434791564941</v>
      </c>
      <c r="L439" s="16" t="n">
        <v>-0.191100269556046</v>
      </c>
      <c r="M439" s="16" t="s">
        <v>98</v>
      </c>
      <c r="N439" s="16" t="s">
        <v>2725</v>
      </c>
      <c r="O439" s="16" t="s">
        <v>2726</v>
      </c>
      <c r="P439" s="16" t="s">
        <v>2720</v>
      </c>
      <c r="Q439" s="16" t="s">
        <v>100</v>
      </c>
    </row>
    <row r="440" customFormat="false" ht="15" hidden="false" customHeight="false" outlineLevel="0" collapsed="false">
      <c r="A440" s="16" t="n">
        <v>41507</v>
      </c>
      <c r="B440" s="16" t="s">
        <v>2727</v>
      </c>
      <c r="C440" s="16" t="s">
        <v>2728</v>
      </c>
      <c r="D440" s="16" t="s">
        <v>23</v>
      </c>
      <c r="E440" s="16" t="s">
        <v>94</v>
      </c>
      <c r="F440" s="16" t="s">
        <v>2729</v>
      </c>
      <c r="G440" s="16" t="s">
        <v>706</v>
      </c>
      <c r="H440" s="16" t="s">
        <v>34</v>
      </c>
      <c r="I440" s="16" t="s">
        <v>34</v>
      </c>
      <c r="J440" s="16" t="s">
        <v>2730</v>
      </c>
      <c r="K440" s="16" t="n">
        <v>52.4848976135254</v>
      </c>
      <c r="L440" s="16" t="n">
        <v>-1.89373970031738</v>
      </c>
      <c r="M440" s="16" t="s">
        <v>98</v>
      </c>
      <c r="N440" s="16" t="s">
        <v>2731</v>
      </c>
      <c r="O440" s="16"/>
      <c r="P440" s="16" t="s">
        <v>2732</v>
      </c>
      <c r="Q440" s="16" t="s">
        <v>100</v>
      </c>
    </row>
    <row r="441" customFormat="false" ht="15" hidden="false" customHeight="false" outlineLevel="0" collapsed="false">
      <c r="A441" s="16" t="n">
        <v>41545</v>
      </c>
      <c r="B441" s="16" t="s">
        <v>2733</v>
      </c>
      <c r="C441" s="16" t="s">
        <v>2734</v>
      </c>
      <c r="D441" s="16" t="s">
        <v>23</v>
      </c>
      <c r="E441" s="16" t="s">
        <v>94</v>
      </c>
      <c r="F441" s="16" t="s">
        <v>2735</v>
      </c>
      <c r="G441" s="16" t="s">
        <v>33</v>
      </c>
      <c r="H441" s="16" t="s">
        <v>44</v>
      </c>
      <c r="I441" s="16" t="s">
        <v>33</v>
      </c>
      <c r="J441" s="16" t="s">
        <v>2736</v>
      </c>
      <c r="K441" s="16" t="n">
        <v>51.4843101501465</v>
      </c>
      <c r="L441" s="16" t="n">
        <v>-0.181629702448845</v>
      </c>
      <c r="M441" s="16" t="s">
        <v>98</v>
      </c>
      <c r="N441" s="16" t="s">
        <v>2737</v>
      </c>
      <c r="O441" s="16"/>
      <c r="P441" s="16" t="s">
        <v>2738</v>
      </c>
      <c r="Q441" s="16" t="s">
        <v>100</v>
      </c>
    </row>
    <row r="442" customFormat="false" ht="15" hidden="false" customHeight="false" outlineLevel="0" collapsed="false">
      <c r="A442" s="16" t="n">
        <v>41556</v>
      </c>
      <c r="B442" s="16" t="s">
        <v>2739</v>
      </c>
      <c r="C442" s="16" t="s">
        <v>2740</v>
      </c>
      <c r="D442" s="16" t="s">
        <v>23</v>
      </c>
      <c r="E442" s="16" t="s">
        <v>94</v>
      </c>
      <c r="F442" s="16" t="s">
        <v>2741</v>
      </c>
      <c r="G442" s="16" t="s">
        <v>2742</v>
      </c>
      <c r="H442" s="16" t="s">
        <v>49</v>
      </c>
      <c r="I442" s="16" t="s">
        <v>32</v>
      </c>
      <c r="J442" s="16" t="s">
        <v>2743</v>
      </c>
      <c r="K442" s="16" t="n">
        <v>51.7715301513672</v>
      </c>
      <c r="L442" s="16" t="n">
        <v>0.0854712948203086</v>
      </c>
      <c r="M442" s="16" t="s">
        <v>98</v>
      </c>
      <c r="N442" s="16" t="s">
        <v>2744</v>
      </c>
      <c r="O442" s="16"/>
      <c r="P442" s="16" t="s">
        <v>2745</v>
      </c>
      <c r="Q442" s="16" t="s">
        <v>100</v>
      </c>
    </row>
    <row r="443" customFormat="false" ht="15" hidden="false" customHeight="false" outlineLevel="0" collapsed="false">
      <c r="A443" s="16" t="n">
        <v>41569</v>
      </c>
      <c r="B443" s="16" t="s">
        <v>2746</v>
      </c>
      <c r="C443" s="16" t="s">
        <v>2747</v>
      </c>
      <c r="D443" s="16" t="s">
        <v>23</v>
      </c>
      <c r="E443" s="16" t="s">
        <v>94</v>
      </c>
      <c r="F443" s="16" t="s">
        <v>2748</v>
      </c>
      <c r="G443" s="16" t="s">
        <v>33</v>
      </c>
      <c r="H443" s="16" t="s">
        <v>44</v>
      </c>
      <c r="I443" s="16" t="s">
        <v>33</v>
      </c>
      <c r="J443" s="16" t="s">
        <v>2749</v>
      </c>
      <c r="K443" s="16" t="n">
        <v>51.5506324768066</v>
      </c>
      <c r="L443" s="16" t="n">
        <v>-0.0460843555629253</v>
      </c>
      <c r="M443" s="16" t="s">
        <v>98</v>
      </c>
      <c r="N443" s="16" t="s">
        <v>2750</v>
      </c>
      <c r="O443" s="16" t="s">
        <v>2751</v>
      </c>
      <c r="P443" s="16" t="s">
        <v>2752</v>
      </c>
      <c r="Q443" s="16" t="s">
        <v>100</v>
      </c>
    </row>
    <row r="444" customFormat="false" ht="15" hidden="false" customHeight="false" outlineLevel="0" collapsed="false">
      <c r="A444" s="16" t="n">
        <v>41571</v>
      </c>
      <c r="B444" s="16" t="s">
        <v>2753</v>
      </c>
      <c r="C444" s="16" t="s">
        <v>2754</v>
      </c>
      <c r="D444" s="16" t="s">
        <v>23</v>
      </c>
      <c r="E444" s="16" t="s">
        <v>94</v>
      </c>
      <c r="F444" s="16" t="s">
        <v>2755</v>
      </c>
      <c r="G444" s="16" t="s">
        <v>33</v>
      </c>
      <c r="H444" s="16" t="s">
        <v>44</v>
      </c>
      <c r="I444" s="16" t="s">
        <v>33</v>
      </c>
      <c r="J444" s="16" t="s">
        <v>2756</v>
      </c>
      <c r="K444" s="16" t="n">
        <v>51.4373588562012</v>
      </c>
      <c r="L444" s="16" t="n">
        <v>-0.172358453273773</v>
      </c>
      <c r="M444" s="16" t="s">
        <v>98</v>
      </c>
      <c r="N444" s="16" t="s">
        <v>2757</v>
      </c>
      <c r="O444" s="16"/>
      <c r="P444" s="16" t="s">
        <v>2758</v>
      </c>
      <c r="Q444" s="16" t="s">
        <v>100</v>
      </c>
    </row>
    <row r="445" customFormat="false" ht="15" hidden="false" customHeight="false" outlineLevel="0" collapsed="false">
      <c r="A445" s="16" t="n">
        <v>41573</v>
      </c>
      <c r="B445" s="16" t="s">
        <v>2759</v>
      </c>
      <c r="C445" s="16" t="s">
        <v>2760</v>
      </c>
      <c r="D445" s="16" t="s">
        <v>23</v>
      </c>
      <c r="E445" s="16" t="s">
        <v>94</v>
      </c>
      <c r="F445" s="16" t="s">
        <v>2755</v>
      </c>
      <c r="G445" s="16" t="s">
        <v>33</v>
      </c>
      <c r="H445" s="16" t="s">
        <v>44</v>
      </c>
      <c r="I445" s="16" t="s">
        <v>33</v>
      </c>
      <c r="J445" s="16" t="s">
        <v>2761</v>
      </c>
      <c r="K445" s="16" t="n">
        <v>51.4670906066895</v>
      </c>
      <c r="L445" s="16" t="n">
        <v>-0.256503701210022</v>
      </c>
      <c r="M445" s="16" t="s">
        <v>98</v>
      </c>
      <c r="N445" s="16" t="s">
        <v>2757</v>
      </c>
      <c r="O445" s="16"/>
      <c r="P445" s="16" t="s">
        <v>2762</v>
      </c>
      <c r="Q445" s="16" t="s">
        <v>100</v>
      </c>
    </row>
    <row r="446" customFormat="false" ht="15" hidden="false" customHeight="false" outlineLevel="0" collapsed="false">
      <c r="A446" s="16" t="n">
        <v>41576</v>
      </c>
      <c r="B446" s="16" t="s">
        <v>2763</v>
      </c>
      <c r="C446" s="16" t="s">
        <v>2764</v>
      </c>
      <c r="D446" s="16" t="s">
        <v>23</v>
      </c>
      <c r="E446" s="16" t="s">
        <v>94</v>
      </c>
      <c r="F446" s="16" t="s">
        <v>2755</v>
      </c>
      <c r="G446" s="16" t="s">
        <v>2765</v>
      </c>
      <c r="H446" s="16" t="s">
        <v>46</v>
      </c>
      <c r="I446" s="16" t="s">
        <v>29</v>
      </c>
      <c r="J446" s="16" t="s">
        <v>2766</v>
      </c>
      <c r="K446" s="16" t="n">
        <v>51.3790855407715</v>
      </c>
      <c r="L446" s="16" t="n">
        <v>-0.288502633571625</v>
      </c>
      <c r="M446" s="16" t="s">
        <v>98</v>
      </c>
      <c r="N446" s="16" t="s">
        <v>2767</v>
      </c>
      <c r="O446" s="16"/>
      <c r="P446" s="16" t="s">
        <v>2758</v>
      </c>
      <c r="Q446" s="16" t="s">
        <v>100</v>
      </c>
    </row>
    <row r="447" customFormat="false" ht="15" hidden="false" customHeight="false" outlineLevel="0" collapsed="false">
      <c r="A447" s="16" t="n">
        <v>41607</v>
      </c>
      <c r="B447" s="16" t="s">
        <v>2768</v>
      </c>
      <c r="C447" s="16" t="s">
        <v>2769</v>
      </c>
      <c r="D447" s="16" t="s">
        <v>23</v>
      </c>
      <c r="E447" s="16" t="s">
        <v>94</v>
      </c>
      <c r="F447" s="16" t="s">
        <v>2770</v>
      </c>
      <c r="G447" s="16" t="s">
        <v>2771</v>
      </c>
      <c r="H447" s="16" t="s">
        <v>279</v>
      </c>
      <c r="I447" s="16" t="s">
        <v>37</v>
      </c>
      <c r="J447" s="16" t="s">
        <v>2772</v>
      </c>
      <c r="K447" s="16" t="n">
        <v>54.9393844604492</v>
      </c>
      <c r="L447" s="16" t="n">
        <v>-1.58076548576355</v>
      </c>
      <c r="M447" s="16" t="s">
        <v>98</v>
      </c>
      <c r="N447" s="16" t="s">
        <v>2773</v>
      </c>
      <c r="O447" s="16" t="s">
        <v>2774</v>
      </c>
      <c r="P447" s="16" t="s">
        <v>2775</v>
      </c>
      <c r="Q447" s="16" t="s">
        <v>100</v>
      </c>
    </row>
    <row r="448" customFormat="false" ht="15" hidden="false" customHeight="false" outlineLevel="0" collapsed="false">
      <c r="A448" s="16" t="n">
        <v>41608</v>
      </c>
      <c r="B448" s="16" t="s">
        <v>2776</v>
      </c>
      <c r="C448" s="16" t="s">
        <v>2777</v>
      </c>
      <c r="D448" s="16" t="s">
        <v>23</v>
      </c>
      <c r="E448" s="16" t="s">
        <v>94</v>
      </c>
      <c r="F448" s="16" t="s">
        <v>2770</v>
      </c>
      <c r="G448" s="16" t="s">
        <v>2771</v>
      </c>
      <c r="H448" s="16" t="s">
        <v>279</v>
      </c>
      <c r="I448" s="16" t="s">
        <v>37</v>
      </c>
      <c r="J448" s="16" t="s">
        <v>2778</v>
      </c>
      <c r="K448" s="16" t="n">
        <v>54.9463958740234</v>
      </c>
      <c r="L448" s="16" t="n">
        <v>-1.65945267677307</v>
      </c>
      <c r="M448" s="16" t="s">
        <v>98</v>
      </c>
      <c r="N448" s="16" t="s">
        <v>2773</v>
      </c>
      <c r="O448" s="16" t="s">
        <v>2779</v>
      </c>
      <c r="P448" s="16" t="s">
        <v>2775</v>
      </c>
      <c r="Q448" s="16" t="s">
        <v>100</v>
      </c>
    </row>
    <row r="449" customFormat="false" ht="15" hidden="false" customHeight="false" outlineLevel="0" collapsed="false">
      <c r="A449" s="16" t="n">
        <v>41611</v>
      </c>
      <c r="B449" s="16" t="s">
        <v>2780</v>
      </c>
      <c r="C449" s="16" t="s">
        <v>2781</v>
      </c>
      <c r="D449" s="16" t="s">
        <v>23</v>
      </c>
      <c r="E449" s="16" t="s">
        <v>94</v>
      </c>
      <c r="F449" s="16" t="s">
        <v>2782</v>
      </c>
      <c r="G449" s="16" t="s">
        <v>265</v>
      </c>
      <c r="H449" s="16" t="s">
        <v>50</v>
      </c>
      <c r="I449" s="16" t="s">
        <v>35</v>
      </c>
      <c r="J449" s="16" t="s">
        <v>2783</v>
      </c>
      <c r="K449" s="16" t="n">
        <v>53.8014602661133</v>
      </c>
      <c r="L449" s="16" t="n">
        <v>-1.55211925506592</v>
      </c>
      <c r="M449" s="16" t="s">
        <v>98</v>
      </c>
      <c r="N449" s="16" t="s">
        <v>2784</v>
      </c>
      <c r="O449" s="16"/>
      <c r="P449" s="16" t="s">
        <v>2785</v>
      </c>
      <c r="Q449" s="16" t="s">
        <v>100</v>
      </c>
    </row>
    <row r="450" customFormat="false" ht="15" hidden="false" customHeight="false" outlineLevel="0" collapsed="false">
      <c r="A450" s="16" t="n">
        <v>41612</v>
      </c>
      <c r="B450" s="16" t="s">
        <v>2786</v>
      </c>
      <c r="C450" s="16" t="s">
        <v>2787</v>
      </c>
      <c r="D450" s="16" t="s">
        <v>23</v>
      </c>
      <c r="E450" s="16" t="s">
        <v>94</v>
      </c>
      <c r="F450" s="16" t="s">
        <v>2782</v>
      </c>
      <c r="G450" s="16" t="s">
        <v>265</v>
      </c>
      <c r="H450" s="16" t="s">
        <v>50</v>
      </c>
      <c r="I450" s="16" t="s">
        <v>35</v>
      </c>
      <c r="J450" s="16" t="s">
        <v>2788</v>
      </c>
      <c r="K450" s="16" t="n">
        <v>53.8033752441406</v>
      </c>
      <c r="L450" s="16" t="n">
        <v>-1.55570137500763</v>
      </c>
      <c r="M450" s="16" t="s">
        <v>98</v>
      </c>
      <c r="N450" s="16" t="s">
        <v>2789</v>
      </c>
      <c r="O450" s="16"/>
      <c r="P450" s="16" t="s">
        <v>2785</v>
      </c>
      <c r="Q450" s="16" t="s">
        <v>100</v>
      </c>
    </row>
    <row r="451" customFormat="false" ht="15" hidden="false" customHeight="false" outlineLevel="0" collapsed="false">
      <c r="A451" s="16" t="n">
        <v>41614</v>
      </c>
      <c r="B451" s="16" t="s">
        <v>2790</v>
      </c>
      <c r="C451" s="16" t="s">
        <v>2791</v>
      </c>
      <c r="D451" s="16" t="s">
        <v>23</v>
      </c>
      <c r="E451" s="16" t="s">
        <v>94</v>
      </c>
      <c r="F451" s="16" t="s">
        <v>2782</v>
      </c>
      <c r="G451" s="16" t="s">
        <v>2792</v>
      </c>
      <c r="H451" s="16" t="s">
        <v>50</v>
      </c>
      <c r="I451" s="16" t="s">
        <v>35</v>
      </c>
      <c r="J451" s="16" t="s">
        <v>2793</v>
      </c>
      <c r="K451" s="16" t="n">
        <v>53.9143600463867</v>
      </c>
      <c r="L451" s="16" t="n">
        <v>-1.70058441162109</v>
      </c>
      <c r="M451" s="16" t="s">
        <v>98</v>
      </c>
      <c r="N451" s="16" t="s">
        <v>2794</v>
      </c>
      <c r="O451" s="16"/>
      <c r="P451" s="16" t="s">
        <v>2785</v>
      </c>
      <c r="Q451" s="16" t="s">
        <v>100</v>
      </c>
    </row>
    <row r="452" customFormat="false" ht="15" hidden="false" customHeight="false" outlineLevel="0" collapsed="false">
      <c r="A452" s="16" t="n">
        <v>41615</v>
      </c>
      <c r="B452" s="16" t="s">
        <v>2795</v>
      </c>
      <c r="C452" s="16" t="s">
        <v>2796</v>
      </c>
      <c r="D452" s="16" t="s">
        <v>23</v>
      </c>
      <c r="E452" s="16" t="s">
        <v>94</v>
      </c>
      <c r="F452" s="16" t="s">
        <v>2782</v>
      </c>
      <c r="G452" s="16" t="s">
        <v>265</v>
      </c>
      <c r="H452" s="16" t="s">
        <v>50</v>
      </c>
      <c r="I452" s="16" t="s">
        <v>35</v>
      </c>
      <c r="J452" s="16" t="s">
        <v>2797</v>
      </c>
      <c r="K452" s="16" t="n">
        <v>53.8068733215332</v>
      </c>
      <c r="L452" s="16" t="n">
        <v>-1.52034378051758</v>
      </c>
      <c r="M452" s="16" t="s">
        <v>98</v>
      </c>
      <c r="N452" s="16" t="s">
        <v>2798</v>
      </c>
      <c r="O452" s="16"/>
      <c r="P452" s="16" t="s">
        <v>2785</v>
      </c>
      <c r="Q452" s="16" t="s">
        <v>100</v>
      </c>
    </row>
    <row r="453" customFormat="false" ht="15" hidden="false" customHeight="false" outlineLevel="0" collapsed="false">
      <c r="A453" s="16" t="n">
        <v>41616</v>
      </c>
      <c r="B453" s="16" t="s">
        <v>2799</v>
      </c>
      <c r="C453" s="16" t="s">
        <v>2800</v>
      </c>
      <c r="D453" s="16" t="s">
        <v>23</v>
      </c>
      <c r="E453" s="16" t="s">
        <v>94</v>
      </c>
      <c r="F453" s="16" t="s">
        <v>2782</v>
      </c>
      <c r="G453" s="16" t="s">
        <v>265</v>
      </c>
      <c r="H453" s="16" t="s">
        <v>50</v>
      </c>
      <c r="I453" s="16" t="s">
        <v>35</v>
      </c>
      <c r="J453" s="16" t="s">
        <v>2801</v>
      </c>
      <c r="K453" s="16" t="n">
        <v>53.8065910339355</v>
      </c>
      <c r="L453" s="16" t="n">
        <v>-1.47088921070099</v>
      </c>
      <c r="M453" s="16" t="s">
        <v>98</v>
      </c>
      <c r="N453" s="16" t="s">
        <v>2802</v>
      </c>
      <c r="O453" s="16"/>
      <c r="P453" s="16" t="s">
        <v>2785</v>
      </c>
      <c r="Q453" s="16" t="s">
        <v>100</v>
      </c>
    </row>
    <row r="454" customFormat="false" ht="15" hidden="false" customHeight="false" outlineLevel="0" collapsed="false">
      <c r="A454" s="16" t="n">
        <v>41618</v>
      </c>
      <c r="B454" s="16" t="s">
        <v>2803</v>
      </c>
      <c r="C454" s="16" t="s">
        <v>2804</v>
      </c>
      <c r="D454" s="16" t="s">
        <v>23</v>
      </c>
      <c r="E454" s="16" t="s">
        <v>94</v>
      </c>
      <c r="F454" s="16" t="s">
        <v>2782</v>
      </c>
      <c r="G454" s="16" t="s">
        <v>265</v>
      </c>
      <c r="H454" s="16" t="s">
        <v>50</v>
      </c>
      <c r="I454" s="16" t="s">
        <v>35</v>
      </c>
      <c r="J454" s="16" t="s">
        <v>2805</v>
      </c>
      <c r="K454" s="16" t="n">
        <v>53.822639465332</v>
      </c>
      <c r="L454" s="16" t="n">
        <v>-1.52979481220245</v>
      </c>
      <c r="M454" s="16" t="s">
        <v>98</v>
      </c>
      <c r="N454" s="16" t="s">
        <v>2806</v>
      </c>
      <c r="O454" s="16"/>
      <c r="P454" s="16" t="s">
        <v>2785</v>
      </c>
      <c r="Q454" s="16" t="s">
        <v>100</v>
      </c>
    </row>
    <row r="455" customFormat="false" ht="15" hidden="false" customHeight="false" outlineLevel="0" collapsed="false">
      <c r="A455" s="16" t="n">
        <v>41635</v>
      </c>
      <c r="B455" s="16" t="s">
        <v>2807</v>
      </c>
      <c r="C455" s="16" t="s">
        <v>2808</v>
      </c>
      <c r="D455" s="16" t="s">
        <v>23</v>
      </c>
      <c r="E455" s="16" t="s">
        <v>94</v>
      </c>
      <c r="F455" s="16" t="s">
        <v>2809</v>
      </c>
      <c r="G455" s="16" t="s">
        <v>994</v>
      </c>
      <c r="H455" s="16" t="s">
        <v>285</v>
      </c>
      <c r="I455" s="16" t="s">
        <v>34</v>
      </c>
      <c r="J455" s="16" t="s">
        <v>2810</v>
      </c>
      <c r="K455" s="16" t="n">
        <v>52.8105926513672</v>
      </c>
      <c r="L455" s="16" t="n">
        <v>-2.10907363891602</v>
      </c>
      <c r="M455" s="16" t="s">
        <v>98</v>
      </c>
      <c r="N455" s="16" t="s">
        <v>2811</v>
      </c>
      <c r="O455" s="16" t="s">
        <v>2812</v>
      </c>
      <c r="P455" s="16" t="s">
        <v>2813</v>
      </c>
      <c r="Q455" s="16" t="s">
        <v>100</v>
      </c>
    </row>
    <row r="456" customFormat="false" ht="15" hidden="false" customHeight="false" outlineLevel="0" collapsed="false">
      <c r="A456" s="16" t="n">
        <v>41723</v>
      </c>
      <c r="B456" s="16" t="s">
        <v>2814</v>
      </c>
      <c r="C456" s="16" t="s">
        <v>2815</v>
      </c>
      <c r="D456" s="16" t="s">
        <v>23</v>
      </c>
      <c r="E456" s="16" t="s">
        <v>94</v>
      </c>
      <c r="F456" s="16" t="s">
        <v>2816</v>
      </c>
      <c r="G456" s="16" t="s">
        <v>2817</v>
      </c>
      <c r="H456" s="16" t="s">
        <v>47</v>
      </c>
      <c r="I456" s="16" t="s">
        <v>31</v>
      </c>
      <c r="J456" s="16" t="s">
        <v>2818</v>
      </c>
      <c r="K456" s="16" t="n">
        <v>53.5044174194336</v>
      </c>
      <c r="L456" s="16" t="n">
        <v>-2.51223945617676</v>
      </c>
      <c r="M456" s="16" t="s">
        <v>98</v>
      </c>
      <c r="N456" s="16" t="s">
        <v>2819</v>
      </c>
      <c r="O456" s="16" t="s">
        <v>2820</v>
      </c>
      <c r="P456" s="16" t="s">
        <v>2821</v>
      </c>
      <c r="Q456" s="16" t="s">
        <v>100</v>
      </c>
    </row>
    <row r="457" customFormat="false" ht="15" hidden="false" customHeight="false" outlineLevel="0" collapsed="false">
      <c r="A457" s="16" t="n">
        <v>41724</v>
      </c>
      <c r="B457" s="16" t="s">
        <v>2822</v>
      </c>
      <c r="C457" s="16" t="s">
        <v>2823</v>
      </c>
      <c r="D457" s="16" t="s">
        <v>23</v>
      </c>
      <c r="E457" s="16" t="s">
        <v>94</v>
      </c>
      <c r="F457" s="16" t="s">
        <v>2816</v>
      </c>
      <c r="G457" s="16" t="s">
        <v>2824</v>
      </c>
      <c r="H457" s="16" t="s">
        <v>47</v>
      </c>
      <c r="I457" s="16" t="s">
        <v>31</v>
      </c>
      <c r="J457" s="16" t="s">
        <v>2825</v>
      </c>
      <c r="K457" s="16" t="n">
        <v>53.5577430725098</v>
      </c>
      <c r="L457" s="16" t="n">
        <v>-2.62907648086548</v>
      </c>
      <c r="M457" s="16" t="s">
        <v>98</v>
      </c>
      <c r="N457" s="16" t="s">
        <v>2819</v>
      </c>
      <c r="O457" s="16" t="s">
        <v>2820</v>
      </c>
      <c r="P457" s="16" t="s">
        <v>2826</v>
      </c>
      <c r="Q457" s="16" t="s">
        <v>100</v>
      </c>
    </row>
    <row r="458" customFormat="false" ht="15" hidden="false" customHeight="false" outlineLevel="0" collapsed="false">
      <c r="A458" s="16" t="n">
        <v>41728</v>
      </c>
      <c r="B458" s="16" t="s">
        <v>2827</v>
      </c>
      <c r="C458" s="16" t="s">
        <v>2828</v>
      </c>
      <c r="D458" s="16" t="s">
        <v>23</v>
      </c>
      <c r="E458" s="16" t="s">
        <v>94</v>
      </c>
      <c r="F458" s="16" t="s">
        <v>2816</v>
      </c>
      <c r="G458" s="16" t="s">
        <v>2824</v>
      </c>
      <c r="H458" s="16" t="s">
        <v>47</v>
      </c>
      <c r="I458" s="16" t="s">
        <v>31</v>
      </c>
      <c r="J458" s="16" t="s">
        <v>2829</v>
      </c>
      <c r="K458" s="16" t="n">
        <v>53.5898132324219</v>
      </c>
      <c r="L458" s="16" t="n">
        <v>-2.71149516105652</v>
      </c>
      <c r="M458" s="16" t="s">
        <v>98</v>
      </c>
      <c r="N458" s="16" t="s">
        <v>2819</v>
      </c>
      <c r="O458" s="16" t="s">
        <v>2820</v>
      </c>
      <c r="P458" s="16" t="s">
        <v>2830</v>
      </c>
      <c r="Q458" s="16" t="s">
        <v>100</v>
      </c>
    </row>
    <row r="459" customFormat="false" ht="15" hidden="false" customHeight="false" outlineLevel="0" collapsed="false">
      <c r="A459" s="16" t="n">
        <v>41735</v>
      </c>
      <c r="B459" s="16" t="s">
        <v>2831</v>
      </c>
      <c r="C459" s="16" t="s">
        <v>2832</v>
      </c>
      <c r="D459" s="16" t="s">
        <v>23</v>
      </c>
      <c r="E459" s="16" t="s">
        <v>94</v>
      </c>
      <c r="F459" s="16" t="s">
        <v>2833</v>
      </c>
      <c r="G459" s="16" t="s">
        <v>706</v>
      </c>
      <c r="H459" s="16" t="s">
        <v>34</v>
      </c>
      <c r="I459" s="16" t="s">
        <v>34</v>
      </c>
      <c r="J459" s="16" t="s">
        <v>2834</v>
      </c>
      <c r="K459" s="16" t="n">
        <v>52.4211387634277</v>
      </c>
      <c r="L459" s="16" t="n">
        <v>-1.96081280708313</v>
      </c>
      <c r="M459" s="16" t="s">
        <v>98</v>
      </c>
      <c r="N459" s="16" t="s">
        <v>2835</v>
      </c>
      <c r="O459" s="16" t="s">
        <v>2836</v>
      </c>
      <c r="P459" s="16" t="s">
        <v>2837</v>
      </c>
      <c r="Q459" s="16" t="s">
        <v>100</v>
      </c>
    </row>
    <row r="460" customFormat="false" ht="15" hidden="false" customHeight="false" outlineLevel="0" collapsed="false">
      <c r="A460" s="16" t="n">
        <v>41754</v>
      </c>
      <c r="B460" s="16" t="s">
        <v>2838</v>
      </c>
      <c r="C460" s="16" t="s">
        <v>2839</v>
      </c>
      <c r="D460" s="16" t="s">
        <v>23</v>
      </c>
      <c r="E460" s="16" t="s">
        <v>94</v>
      </c>
      <c r="F460" s="16" t="s">
        <v>2840</v>
      </c>
      <c r="G460" s="16" t="s">
        <v>706</v>
      </c>
      <c r="H460" s="16" t="s">
        <v>34</v>
      </c>
      <c r="I460" s="16" t="s">
        <v>34</v>
      </c>
      <c r="J460" s="16" t="s">
        <v>2841</v>
      </c>
      <c r="K460" s="16" t="n">
        <v>52.4501495361328</v>
      </c>
      <c r="L460" s="16" t="n">
        <v>-1.94176185131073</v>
      </c>
      <c r="M460" s="16" t="s">
        <v>98</v>
      </c>
      <c r="N460" s="16" t="s">
        <v>2842</v>
      </c>
      <c r="O460" s="16" t="s">
        <v>2843</v>
      </c>
      <c r="P460" s="16" t="s">
        <v>2844</v>
      </c>
      <c r="Q460" s="16" t="s">
        <v>100</v>
      </c>
    </row>
    <row r="461" customFormat="false" ht="15" hidden="false" customHeight="false" outlineLevel="0" collapsed="false">
      <c r="A461" s="16" t="n">
        <v>41804</v>
      </c>
      <c r="B461" s="16" t="s">
        <v>2845</v>
      </c>
      <c r="C461" s="16" t="s">
        <v>2846</v>
      </c>
      <c r="D461" s="16" t="s">
        <v>23</v>
      </c>
      <c r="E461" s="16" t="s">
        <v>94</v>
      </c>
      <c r="F461" s="16" t="s">
        <v>2847</v>
      </c>
      <c r="G461" s="16" t="s">
        <v>33</v>
      </c>
      <c r="H461" s="16" t="s">
        <v>44</v>
      </c>
      <c r="I461" s="16" t="s">
        <v>33</v>
      </c>
      <c r="J461" s="16" t="s">
        <v>2848</v>
      </c>
      <c r="K461" s="16" t="n">
        <v>51.5248908996582</v>
      </c>
      <c r="L461" s="16" t="n">
        <v>-0.136896163225174</v>
      </c>
      <c r="M461" s="16" t="s">
        <v>98</v>
      </c>
      <c r="N461" s="16" t="s">
        <v>2849</v>
      </c>
      <c r="O461" s="16"/>
      <c r="P461" s="16" t="s">
        <v>2850</v>
      </c>
      <c r="Q461" s="16" t="s">
        <v>100</v>
      </c>
    </row>
    <row r="462" customFormat="false" ht="15" hidden="false" customHeight="false" outlineLevel="0" collapsed="false">
      <c r="A462" s="16" t="n">
        <v>41806</v>
      </c>
      <c r="B462" s="16" t="s">
        <v>2851</v>
      </c>
      <c r="C462" s="16" t="s">
        <v>2852</v>
      </c>
      <c r="D462" s="16" t="s">
        <v>23</v>
      </c>
      <c r="E462" s="16" t="s">
        <v>94</v>
      </c>
      <c r="F462" s="16" t="s">
        <v>2847</v>
      </c>
      <c r="G462" s="16" t="s">
        <v>33</v>
      </c>
      <c r="H462" s="16" t="s">
        <v>44</v>
      </c>
      <c r="I462" s="16" t="s">
        <v>33</v>
      </c>
      <c r="J462" s="16" t="s">
        <v>2853</v>
      </c>
      <c r="K462" s="16" t="n">
        <v>51.5195808410645</v>
      </c>
      <c r="L462" s="16" t="n">
        <v>-0.149753928184509</v>
      </c>
      <c r="M462" s="16" t="s">
        <v>98</v>
      </c>
      <c r="N462" s="16" t="s">
        <v>2854</v>
      </c>
      <c r="O462" s="16"/>
      <c r="P462" s="16" t="s">
        <v>2855</v>
      </c>
      <c r="Q462" s="16" t="s">
        <v>100</v>
      </c>
    </row>
    <row r="463" customFormat="false" ht="15" hidden="false" customHeight="false" outlineLevel="0" collapsed="false">
      <c r="A463" s="16" t="n">
        <v>41807</v>
      </c>
      <c r="B463" s="16" t="s">
        <v>2856</v>
      </c>
      <c r="C463" s="16" t="s">
        <v>2857</v>
      </c>
      <c r="D463" s="16" t="s">
        <v>23</v>
      </c>
      <c r="E463" s="16" t="s">
        <v>94</v>
      </c>
      <c r="F463" s="16" t="s">
        <v>2847</v>
      </c>
      <c r="G463" s="16" t="s">
        <v>33</v>
      </c>
      <c r="H463" s="16" t="s">
        <v>44</v>
      </c>
      <c r="I463" s="16" t="s">
        <v>33</v>
      </c>
      <c r="J463" s="16" t="s">
        <v>2858</v>
      </c>
      <c r="K463" s="16" t="n">
        <v>51.5217399597168</v>
      </c>
      <c r="L463" s="16" t="n">
        <v>-0.121384806931019</v>
      </c>
      <c r="M463" s="16" t="s">
        <v>98</v>
      </c>
      <c r="N463" s="16" t="s">
        <v>2849</v>
      </c>
      <c r="O463" s="16" t="s">
        <v>2859</v>
      </c>
      <c r="P463" s="16" t="s">
        <v>2860</v>
      </c>
      <c r="Q463" s="16" t="s">
        <v>100</v>
      </c>
    </row>
    <row r="464" customFormat="false" ht="15" hidden="false" customHeight="false" outlineLevel="0" collapsed="false">
      <c r="A464" s="16" t="n">
        <v>41822</v>
      </c>
      <c r="B464" s="16" t="s">
        <v>2861</v>
      </c>
      <c r="C464" s="16" t="s">
        <v>2862</v>
      </c>
      <c r="D464" s="16" t="s">
        <v>23</v>
      </c>
      <c r="E464" s="16" t="s">
        <v>94</v>
      </c>
      <c r="F464" s="16" t="s">
        <v>2847</v>
      </c>
      <c r="G464" s="16" t="s">
        <v>33</v>
      </c>
      <c r="H464" s="16" t="s">
        <v>44</v>
      </c>
      <c r="I464" s="16" t="s">
        <v>33</v>
      </c>
      <c r="J464" s="16" t="s">
        <v>2863</v>
      </c>
      <c r="K464" s="16" t="n">
        <v>51.5221710205078</v>
      </c>
      <c r="L464" s="16" t="n">
        <v>-0.121986858546734</v>
      </c>
      <c r="M464" s="16" t="s">
        <v>98</v>
      </c>
      <c r="N464" s="16" t="s">
        <v>2849</v>
      </c>
      <c r="O464" s="16"/>
      <c r="P464" s="16" t="s">
        <v>2850</v>
      </c>
      <c r="Q464" s="16" t="s">
        <v>100</v>
      </c>
    </row>
    <row r="465" customFormat="false" ht="15" hidden="false" customHeight="false" outlineLevel="0" collapsed="false">
      <c r="A465" s="16" t="n">
        <v>41823</v>
      </c>
      <c r="B465" s="16" t="s">
        <v>2864</v>
      </c>
      <c r="C465" s="16" t="s">
        <v>2865</v>
      </c>
      <c r="D465" s="16" t="s">
        <v>23</v>
      </c>
      <c r="E465" s="16" t="s">
        <v>94</v>
      </c>
      <c r="F465" s="16" t="s">
        <v>2847</v>
      </c>
      <c r="G465" s="16" t="s">
        <v>33</v>
      </c>
      <c r="H465" s="16" t="s">
        <v>44</v>
      </c>
      <c r="I465" s="16" t="s">
        <v>33</v>
      </c>
      <c r="J465" s="16" t="s">
        <v>2866</v>
      </c>
      <c r="K465" s="16" t="n">
        <v>51.5231590270996</v>
      </c>
      <c r="L465" s="16" t="n">
        <v>-0.135395616292953</v>
      </c>
      <c r="M465" s="16" t="s">
        <v>98</v>
      </c>
      <c r="N465" s="16" t="s">
        <v>2867</v>
      </c>
      <c r="O465" s="16"/>
      <c r="P465" s="16" t="s">
        <v>2850</v>
      </c>
      <c r="Q465" s="16" t="s">
        <v>100</v>
      </c>
    </row>
    <row r="466" customFormat="false" ht="15" hidden="false" customHeight="false" outlineLevel="0" collapsed="false">
      <c r="A466" s="16" t="n">
        <v>41826</v>
      </c>
      <c r="B466" s="16" t="s">
        <v>2868</v>
      </c>
      <c r="C466" s="16" t="s">
        <v>2869</v>
      </c>
      <c r="D466" s="16" t="s">
        <v>23</v>
      </c>
      <c r="E466" s="16" t="s">
        <v>94</v>
      </c>
      <c r="F466" s="16" t="s">
        <v>2870</v>
      </c>
      <c r="G466" s="16" t="s">
        <v>197</v>
      </c>
      <c r="H466" s="16" t="s">
        <v>157</v>
      </c>
      <c r="I466" s="16" t="s">
        <v>32</v>
      </c>
      <c r="J466" s="16" t="s">
        <v>2871</v>
      </c>
      <c r="K466" s="16" t="n">
        <v>52.1844902038574</v>
      </c>
      <c r="L466" s="16" t="n">
        <v>0.188315376639366</v>
      </c>
      <c r="M466" s="16" t="s">
        <v>98</v>
      </c>
      <c r="N466" s="16" t="s">
        <v>2872</v>
      </c>
      <c r="O466" s="16"/>
      <c r="P466" s="16" t="s">
        <v>2873</v>
      </c>
      <c r="Q466" s="16" t="s">
        <v>100</v>
      </c>
    </row>
    <row r="467" customFormat="false" ht="15" hidden="false" customHeight="false" outlineLevel="0" collapsed="false">
      <c r="A467" s="16" t="n">
        <v>41841</v>
      </c>
      <c r="B467" s="16" t="s">
        <v>2874</v>
      </c>
      <c r="C467" s="16" t="s">
        <v>2875</v>
      </c>
      <c r="D467" s="16" t="s">
        <v>23</v>
      </c>
      <c r="E467" s="16" t="s">
        <v>94</v>
      </c>
      <c r="F467" s="16" t="s">
        <v>2876</v>
      </c>
      <c r="G467" s="16" t="s">
        <v>2877</v>
      </c>
      <c r="H467" s="16" t="s">
        <v>595</v>
      </c>
      <c r="I467" s="16" t="s">
        <v>33</v>
      </c>
      <c r="J467" s="16" t="s">
        <v>2878</v>
      </c>
      <c r="K467" s="16" t="n">
        <v>51.6067314147949</v>
      </c>
      <c r="L467" s="16" t="n">
        <v>-0.482753932476044</v>
      </c>
      <c r="M467" s="16" t="s">
        <v>98</v>
      </c>
      <c r="N467" s="16" t="s">
        <v>2879</v>
      </c>
      <c r="O467" s="16" t="s">
        <v>2880</v>
      </c>
      <c r="P467" s="16" t="s">
        <v>2881</v>
      </c>
      <c r="Q467" s="16" t="s">
        <v>100</v>
      </c>
    </row>
    <row r="468" customFormat="false" ht="15" hidden="false" customHeight="false" outlineLevel="0" collapsed="false">
      <c r="A468" s="16" t="n">
        <v>41842</v>
      </c>
      <c r="B468" s="16" t="s">
        <v>2882</v>
      </c>
      <c r="C468" s="16" t="s">
        <v>2883</v>
      </c>
      <c r="D468" s="16" t="s">
        <v>23</v>
      </c>
      <c r="E468" s="16" t="s">
        <v>94</v>
      </c>
      <c r="F468" s="16" t="s">
        <v>2876</v>
      </c>
      <c r="G468" s="16" t="s">
        <v>33</v>
      </c>
      <c r="H468" s="16" t="s">
        <v>44</v>
      </c>
      <c r="I468" s="16" t="s">
        <v>33</v>
      </c>
      <c r="J468" s="16" t="s">
        <v>2884</v>
      </c>
      <c r="K468" s="16" t="n">
        <v>51.4897422790527</v>
      </c>
      <c r="L468" s="16" t="n">
        <v>-0.170840546488762</v>
      </c>
      <c r="M468" s="16" t="s">
        <v>98</v>
      </c>
      <c r="N468" s="16" t="s">
        <v>2885</v>
      </c>
      <c r="O468" s="16" t="s">
        <v>2880</v>
      </c>
      <c r="P468" s="16" t="s">
        <v>2881</v>
      </c>
      <c r="Q468" s="16" t="s">
        <v>100</v>
      </c>
    </row>
    <row r="469" customFormat="false" ht="15" hidden="false" customHeight="false" outlineLevel="0" collapsed="false">
      <c r="A469" s="16" t="n">
        <v>41862</v>
      </c>
      <c r="B469" s="16" t="s">
        <v>2886</v>
      </c>
      <c r="C469" s="16" t="s">
        <v>2887</v>
      </c>
      <c r="D469" s="16" t="s">
        <v>23</v>
      </c>
      <c r="E469" s="16" t="s">
        <v>94</v>
      </c>
      <c r="F469" s="16" t="s">
        <v>2888</v>
      </c>
      <c r="G469" s="16" t="s">
        <v>278</v>
      </c>
      <c r="H469" s="16" t="s">
        <v>279</v>
      </c>
      <c r="I469" s="16" t="s">
        <v>37</v>
      </c>
      <c r="J469" s="16" t="s">
        <v>2889</v>
      </c>
      <c r="K469" s="16" t="n">
        <v>55.0027770996094</v>
      </c>
      <c r="L469" s="16" t="n">
        <v>-1.59336221218109</v>
      </c>
      <c r="M469" s="16" t="s">
        <v>98</v>
      </c>
      <c r="N469" s="16" t="s">
        <v>2890</v>
      </c>
      <c r="O469" s="16" t="s">
        <v>2891</v>
      </c>
      <c r="P469" s="16" t="s">
        <v>2892</v>
      </c>
      <c r="Q469" s="16" t="s">
        <v>100</v>
      </c>
    </row>
    <row r="470" customFormat="false" ht="15" hidden="false" customHeight="false" outlineLevel="0" collapsed="false">
      <c r="A470" s="16" t="n">
        <v>41863</v>
      </c>
      <c r="B470" s="16" t="s">
        <v>2893</v>
      </c>
      <c r="C470" s="16" t="s">
        <v>2894</v>
      </c>
      <c r="D470" s="16" t="s">
        <v>23</v>
      </c>
      <c r="E470" s="16" t="s">
        <v>94</v>
      </c>
      <c r="F470" s="16" t="s">
        <v>2888</v>
      </c>
      <c r="G470" s="16" t="s">
        <v>278</v>
      </c>
      <c r="H470" s="16" t="s">
        <v>279</v>
      </c>
      <c r="I470" s="16" t="s">
        <v>37</v>
      </c>
      <c r="J470" s="16" t="s">
        <v>2895</v>
      </c>
      <c r="K470" s="16" t="n">
        <v>54.9802169799805</v>
      </c>
      <c r="L470" s="16" t="n">
        <v>-1.6188395023346</v>
      </c>
      <c r="M470" s="16" t="s">
        <v>98</v>
      </c>
      <c r="N470" s="16" t="s">
        <v>2896</v>
      </c>
      <c r="O470" s="16" t="s">
        <v>2891</v>
      </c>
      <c r="P470" s="16" t="s">
        <v>2892</v>
      </c>
      <c r="Q470" s="16" t="s">
        <v>100</v>
      </c>
    </row>
    <row r="471" customFormat="false" ht="15" hidden="false" customHeight="false" outlineLevel="0" collapsed="false">
      <c r="A471" s="16" t="n">
        <v>41865</v>
      </c>
      <c r="B471" s="16" t="s">
        <v>2897</v>
      </c>
      <c r="C471" s="16" t="s">
        <v>2898</v>
      </c>
      <c r="D471" s="16" t="s">
        <v>23</v>
      </c>
      <c r="E471" s="16" t="s">
        <v>94</v>
      </c>
      <c r="F471" s="16" t="s">
        <v>2888</v>
      </c>
      <c r="G471" s="16" t="s">
        <v>278</v>
      </c>
      <c r="H471" s="16" t="s">
        <v>279</v>
      </c>
      <c r="I471" s="16" t="s">
        <v>37</v>
      </c>
      <c r="J471" s="16" t="s">
        <v>2899</v>
      </c>
      <c r="K471" s="16" t="n">
        <v>54.981502532959</v>
      </c>
      <c r="L471" s="16" t="n">
        <v>-1.6227023601532</v>
      </c>
      <c r="M471" s="16" t="s">
        <v>98</v>
      </c>
      <c r="N471" s="16" t="s">
        <v>2890</v>
      </c>
      <c r="O471" s="16" t="s">
        <v>2891</v>
      </c>
      <c r="P471" s="16" t="s">
        <v>2892</v>
      </c>
      <c r="Q471" s="16" t="s">
        <v>100</v>
      </c>
    </row>
    <row r="472" customFormat="false" ht="15" hidden="false" customHeight="false" outlineLevel="0" collapsed="false">
      <c r="A472" s="16" t="n">
        <v>41871</v>
      </c>
      <c r="B472" s="16" t="s">
        <v>2900</v>
      </c>
      <c r="C472" s="16" t="s">
        <v>2901</v>
      </c>
      <c r="D472" s="16" t="s">
        <v>23</v>
      </c>
      <c r="E472" s="16" t="s">
        <v>94</v>
      </c>
      <c r="F472" s="16" t="s">
        <v>2888</v>
      </c>
      <c r="G472" s="16" t="s">
        <v>278</v>
      </c>
      <c r="H472" s="16" t="s">
        <v>279</v>
      </c>
      <c r="I472" s="16" t="s">
        <v>37</v>
      </c>
      <c r="J472" s="16" t="s">
        <v>2895</v>
      </c>
      <c r="K472" s="16" t="n">
        <v>54.9802169799805</v>
      </c>
      <c r="L472" s="16" t="n">
        <v>-1.6188395023346</v>
      </c>
      <c r="M472" s="16" t="s">
        <v>98</v>
      </c>
      <c r="N472" s="16" t="s">
        <v>2896</v>
      </c>
      <c r="O472" s="16"/>
      <c r="P472" s="16" t="s">
        <v>2902</v>
      </c>
      <c r="Q472" s="16" t="s">
        <v>100</v>
      </c>
    </row>
    <row r="473" customFormat="false" ht="15" hidden="false" customHeight="false" outlineLevel="0" collapsed="false">
      <c r="A473" s="16" t="n">
        <v>41887</v>
      </c>
      <c r="B473" s="16" t="s">
        <v>2903</v>
      </c>
      <c r="C473" s="16" t="s">
        <v>2904</v>
      </c>
      <c r="D473" s="16" t="s">
        <v>23</v>
      </c>
      <c r="E473" s="16" t="s">
        <v>94</v>
      </c>
      <c r="F473" s="16" t="s">
        <v>2905</v>
      </c>
      <c r="G473" s="16" t="s">
        <v>207</v>
      </c>
      <c r="H473" s="16" t="s">
        <v>208</v>
      </c>
      <c r="I473" s="16" t="s">
        <v>30</v>
      </c>
      <c r="J473" s="16" t="s">
        <v>2906</v>
      </c>
      <c r="K473" s="16" t="n">
        <v>51.8921241760254</v>
      </c>
      <c r="L473" s="16" t="n">
        <v>-2.07186841964722</v>
      </c>
      <c r="M473" s="16" t="s">
        <v>98</v>
      </c>
      <c r="N473" s="16" t="s">
        <v>2907</v>
      </c>
      <c r="O473" s="16"/>
      <c r="P473" s="16" t="s">
        <v>2908</v>
      </c>
      <c r="Q473" s="16" t="s">
        <v>100</v>
      </c>
    </row>
    <row r="474" customFormat="false" ht="15" hidden="false" customHeight="false" outlineLevel="0" collapsed="false">
      <c r="A474" s="16" t="n">
        <v>41889</v>
      </c>
      <c r="B474" s="16" t="s">
        <v>2909</v>
      </c>
      <c r="C474" s="16" t="s">
        <v>2910</v>
      </c>
      <c r="D474" s="16" t="s">
        <v>23</v>
      </c>
      <c r="E474" s="16" t="s">
        <v>94</v>
      </c>
      <c r="F474" s="16" t="s">
        <v>2905</v>
      </c>
      <c r="G474" s="16" t="s">
        <v>1142</v>
      </c>
      <c r="H474" s="16" t="s">
        <v>208</v>
      </c>
      <c r="I474" s="16" t="s">
        <v>30</v>
      </c>
      <c r="J474" s="16" t="s">
        <v>2911</v>
      </c>
      <c r="K474" s="16" t="n">
        <v>51.866382598877</v>
      </c>
      <c r="L474" s="16" t="n">
        <v>-2.23205852508545</v>
      </c>
      <c r="M474" s="16" t="s">
        <v>98</v>
      </c>
      <c r="N474" s="16" t="s">
        <v>2912</v>
      </c>
      <c r="O474" s="16"/>
      <c r="P474" s="16" t="s">
        <v>2908</v>
      </c>
      <c r="Q474" s="16" t="s">
        <v>100</v>
      </c>
    </row>
    <row r="475" customFormat="false" ht="15" hidden="false" customHeight="false" outlineLevel="0" collapsed="false">
      <c r="A475" s="16" t="n">
        <v>41898</v>
      </c>
      <c r="B475" s="16" t="s">
        <v>2913</v>
      </c>
      <c r="C475" s="16" t="s">
        <v>2914</v>
      </c>
      <c r="D475" s="16" t="s">
        <v>23</v>
      </c>
      <c r="E475" s="16" t="s">
        <v>94</v>
      </c>
      <c r="F475" s="16" t="s">
        <v>2905</v>
      </c>
      <c r="G475" s="16" t="s">
        <v>207</v>
      </c>
      <c r="H475" s="16" t="s">
        <v>208</v>
      </c>
      <c r="I475" s="16" t="s">
        <v>30</v>
      </c>
      <c r="J475" s="16" t="s">
        <v>2915</v>
      </c>
      <c r="K475" s="16" t="n">
        <v>51.8863105773926</v>
      </c>
      <c r="L475" s="16" t="n">
        <v>-1.75677609443665</v>
      </c>
      <c r="M475" s="16" t="s">
        <v>98</v>
      </c>
      <c r="N475" s="16"/>
      <c r="O475" s="16"/>
      <c r="P475" s="16"/>
      <c r="Q475" s="16" t="s">
        <v>100</v>
      </c>
    </row>
    <row r="476" customFormat="false" ht="15" hidden="false" customHeight="false" outlineLevel="0" collapsed="false">
      <c r="A476" s="16" t="n">
        <v>41929</v>
      </c>
      <c r="B476" s="16" t="s">
        <v>2916</v>
      </c>
      <c r="C476" s="16" t="s">
        <v>2917</v>
      </c>
      <c r="D476" s="16" t="s">
        <v>23</v>
      </c>
      <c r="E476" s="16" t="s">
        <v>94</v>
      </c>
      <c r="F476" s="16" t="s">
        <v>2905</v>
      </c>
      <c r="G476" s="16" t="s">
        <v>207</v>
      </c>
      <c r="H476" s="16" t="s">
        <v>208</v>
      </c>
      <c r="I476" s="16" t="s">
        <v>30</v>
      </c>
      <c r="J476" s="16" t="s">
        <v>2918</v>
      </c>
      <c r="K476" s="16" t="n">
        <v>51.8884735107422</v>
      </c>
      <c r="L476" s="16" t="n">
        <v>-2.06985759735107</v>
      </c>
      <c r="M476" s="16" t="s">
        <v>98</v>
      </c>
      <c r="N476" s="16" t="s">
        <v>2919</v>
      </c>
      <c r="O476" s="16"/>
      <c r="P476" s="16"/>
      <c r="Q476" s="16" t="s">
        <v>100</v>
      </c>
    </row>
    <row r="477" customFormat="false" ht="15" hidden="false" customHeight="false" outlineLevel="0" collapsed="false">
      <c r="A477" s="16" t="n">
        <v>41931</v>
      </c>
      <c r="B477" s="16" t="s">
        <v>2920</v>
      </c>
      <c r="C477" s="16" t="s">
        <v>2921</v>
      </c>
      <c r="D477" s="16" t="s">
        <v>23</v>
      </c>
      <c r="E477" s="16" t="s">
        <v>94</v>
      </c>
      <c r="F477" s="16" t="s">
        <v>2905</v>
      </c>
      <c r="G477" s="16" t="s">
        <v>2922</v>
      </c>
      <c r="H477" s="16" t="s">
        <v>208</v>
      </c>
      <c r="I477" s="16" t="s">
        <v>30</v>
      </c>
      <c r="J477" s="16" t="s">
        <v>2923</v>
      </c>
      <c r="K477" s="16" t="n">
        <v>51.6351776123047</v>
      </c>
      <c r="L477" s="16" t="n">
        <v>-2.15472936630249</v>
      </c>
      <c r="M477" s="16" t="s">
        <v>98</v>
      </c>
      <c r="N477" s="16" t="s">
        <v>2924</v>
      </c>
      <c r="O477" s="16"/>
      <c r="P477" s="16" t="s">
        <v>2925</v>
      </c>
      <c r="Q477" s="16" t="s">
        <v>100</v>
      </c>
    </row>
    <row r="478" customFormat="false" ht="15" hidden="false" customHeight="false" outlineLevel="0" collapsed="false">
      <c r="A478" s="16" t="n">
        <v>41947</v>
      </c>
      <c r="B478" s="16" t="s">
        <v>2926</v>
      </c>
      <c r="C478" s="16" t="s">
        <v>2927</v>
      </c>
      <c r="D478" s="16" t="s">
        <v>23</v>
      </c>
      <c r="E478" s="16" t="s">
        <v>94</v>
      </c>
      <c r="F478" s="16" t="s">
        <v>2928</v>
      </c>
      <c r="G478" s="16" t="s">
        <v>2929</v>
      </c>
      <c r="H478" s="16" t="s">
        <v>2930</v>
      </c>
      <c r="I478" s="16" t="s">
        <v>37</v>
      </c>
      <c r="J478" s="16" t="s">
        <v>2931</v>
      </c>
      <c r="K478" s="16" t="n">
        <v>55.7732887268066</v>
      </c>
      <c r="L478" s="16" t="n">
        <v>-2.0049638748169</v>
      </c>
      <c r="M478" s="16" t="s">
        <v>98</v>
      </c>
      <c r="N478" s="16" t="s">
        <v>2932</v>
      </c>
      <c r="O478" s="16" t="s">
        <v>2933</v>
      </c>
      <c r="P478" s="16" t="s">
        <v>2934</v>
      </c>
      <c r="Q478" s="16" t="s">
        <v>100</v>
      </c>
    </row>
    <row r="479" customFormat="false" ht="15" hidden="false" customHeight="false" outlineLevel="0" collapsed="false">
      <c r="A479" s="16" t="n">
        <v>41948</v>
      </c>
      <c r="B479" s="16" t="s">
        <v>2935</v>
      </c>
      <c r="C479" s="16" t="s">
        <v>2936</v>
      </c>
      <c r="D479" s="16" t="s">
        <v>23</v>
      </c>
      <c r="E479" s="16" t="s">
        <v>94</v>
      </c>
      <c r="F479" s="16" t="s">
        <v>2928</v>
      </c>
      <c r="G479" s="16" t="s">
        <v>2937</v>
      </c>
      <c r="H479" s="16" t="s">
        <v>2930</v>
      </c>
      <c r="I479" s="16" t="s">
        <v>37</v>
      </c>
      <c r="J479" s="16" t="s">
        <v>2938</v>
      </c>
      <c r="K479" s="16" t="n">
        <v>55.4109420776367</v>
      </c>
      <c r="L479" s="16" t="n">
        <v>-1.69719982147217</v>
      </c>
      <c r="M479" s="16" t="s">
        <v>98</v>
      </c>
      <c r="N479" s="16" t="s">
        <v>2932</v>
      </c>
      <c r="O479" s="16" t="s">
        <v>2933</v>
      </c>
      <c r="P479" s="16" t="s">
        <v>2939</v>
      </c>
      <c r="Q479" s="16" t="s">
        <v>100</v>
      </c>
    </row>
    <row r="480" customFormat="false" ht="15" hidden="false" customHeight="false" outlineLevel="0" collapsed="false">
      <c r="A480" s="16" t="n">
        <v>41954</v>
      </c>
      <c r="B480" s="16" t="s">
        <v>2940</v>
      </c>
      <c r="C480" s="16" t="s">
        <v>2941</v>
      </c>
      <c r="D480" s="16" t="s">
        <v>23</v>
      </c>
      <c r="E480" s="16" t="s">
        <v>94</v>
      </c>
      <c r="F480" s="16" t="s">
        <v>2928</v>
      </c>
      <c r="G480" s="16" t="s">
        <v>2942</v>
      </c>
      <c r="H480" s="16" t="s">
        <v>2930</v>
      </c>
      <c r="I480" s="16" t="s">
        <v>37</v>
      </c>
      <c r="J480" s="16" t="s">
        <v>2943</v>
      </c>
      <c r="K480" s="16" t="n">
        <v>54.9703674316406</v>
      </c>
      <c r="L480" s="16" t="n">
        <v>-2.09567785263062</v>
      </c>
      <c r="M480" s="16" t="s">
        <v>98</v>
      </c>
      <c r="N480" s="16" t="s">
        <v>2932</v>
      </c>
      <c r="O480" s="16" t="s">
        <v>2933</v>
      </c>
      <c r="P480" s="16" t="s">
        <v>2944</v>
      </c>
      <c r="Q480" s="16" t="s">
        <v>100</v>
      </c>
    </row>
    <row r="481" customFormat="false" ht="15" hidden="false" customHeight="false" outlineLevel="0" collapsed="false">
      <c r="A481" s="16" t="n">
        <v>41956</v>
      </c>
      <c r="B481" s="16" t="s">
        <v>2945</v>
      </c>
      <c r="C481" s="16" t="s">
        <v>2946</v>
      </c>
      <c r="D481" s="16" t="s">
        <v>23</v>
      </c>
      <c r="E481" s="16" t="s">
        <v>94</v>
      </c>
      <c r="F481" s="16" t="s">
        <v>2928</v>
      </c>
      <c r="G481" s="16" t="s">
        <v>2947</v>
      </c>
      <c r="H481" s="16" t="s">
        <v>2930</v>
      </c>
      <c r="I481" s="16" t="s">
        <v>37</v>
      </c>
      <c r="J481" s="16" t="s">
        <v>2948</v>
      </c>
      <c r="K481" s="16" t="n">
        <v>54.9701080322266</v>
      </c>
      <c r="L481" s="16" t="n">
        <v>-2.46291971206665</v>
      </c>
      <c r="M481" s="16" t="s">
        <v>98</v>
      </c>
      <c r="N481" s="16" t="s">
        <v>2932</v>
      </c>
      <c r="O481" s="16" t="s">
        <v>2933</v>
      </c>
      <c r="P481" s="16" t="s">
        <v>2949</v>
      </c>
      <c r="Q481" s="16" t="s">
        <v>100</v>
      </c>
    </row>
    <row r="482" customFormat="false" ht="15" hidden="false" customHeight="false" outlineLevel="0" collapsed="false">
      <c r="A482" s="16" t="n">
        <v>41957</v>
      </c>
      <c r="B482" s="16" t="s">
        <v>2950</v>
      </c>
      <c r="C482" s="16" t="s">
        <v>2951</v>
      </c>
      <c r="D482" s="16" t="s">
        <v>23</v>
      </c>
      <c r="E482" s="16" t="s">
        <v>94</v>
      </c>
      <c r="F482" s="16" t="s">
        <v>2928</v>
      </c>
      <c r="G482" s="16" t="s">
        <v>2952</v>
      </c>
      <c r="H482" s="16" t="s">
        <v>2930</v>
      </c>
      <c r="I482" s="16" t="s">
        <v>37</v>
      </c>
      <c r="J482" s="16" t="s">
        <v>2953</v>
      </c>
      <c r="K482" s="16" t="n">
        <v>55.1278762817383</v>
      </c>
      <c r="L482" s="16" t="n">
        <v>-1.51492011547089</v>
      </c>
      <c r="M482" s="16" t="s">
        <v>98</v>
      </c>
      <c r="N482" s="16" t="s">
        <v>2932</v>
      </c>
      <c r="O482" s="16" t="s">
        <v>2933</v>
      </c>
      <c r="P482" s="16" t="s">
        <v>2954</v>
      </c>
      <c r="Q482" s="16" t="s">
        <v>100</v>
      </c>
    </row>
    <row r="483" customFormat="false" ht="15" hidden="false" customHeight="false" outlineLevel="0" collapsed="false">
      <c r="A483" s="16" t="n">
        <v>41958</v>
      </c>
      <c r="B483" s="16" t="s">
        <v>2955</v>
      </c>
      <c r="C483" s="16" t="s">
        <v>2928</v>
      </c>
      <c r="D483" s="16" t="s">
        <v>23</v>
      </c>
      <c r="E483" s="16" t="s">
        <v>94</v>
      </c>
      <c r="F483" s="16" t="s">
        <v>2928</v>
      </c>
      <c r="G483" s="16" t="s">
        <v>278</v>
      </c>
      <c r="H483" s="16" t="s">
        <v>279</v>
      </c>
      <c r="I483" s="16" t="s">
        <v>37</v>
      </c>
      <c r="J483" s="16" t="s">
        <v>2956</v>
      </c>
      <c r="K483" s="16" t="n">
        <v>55.0204620361328</v>
      </c>
      <c r="L483" s="16" t="n">
        <v>-1.50816237926483</v>
      </c>
      <c r="M483" s="16" t="s">
        <v>98</v>
      </c>
      <c r="N483" s="16"/>
      <c r="O483" s="16"/>
      <c r="P483" s="16"/>
      <c r="Q483" s="16" t="s">
        <v>100</v>
      </c>
    </row>
    <row r="484" customFormat="false" ht="15" hidden="false" customHeight="false" outlineLevel="0" collapsed="false">
      <c r="A484" s="16" t="n">
        <v>41960</v>
      </c>
      <c r="B484" s="16" t="s">
        <v>2957</v>
      </c>
      <c r="C484" s="16" t="s">
        <v>2958</v>
      </c>
      <c r="D484" s="16" t="s">
        <v>23</v>
      </c>
      <c r="E484" s="16" t="s">
        <v>94</v>
      </c>
      <c r="F484" s="16" t="s">
        <v>2928</v>
      </c>
      <c r="G484" s="16" t="s">
        <v>2959</v>
      </c>
      <c r="H484" s="16" t="s">
        <v>2930</v>
      </c>
      <c r="I484" s="16" t="s">
        <v>37</v>
      </c>
      <c r="J484" s="16" t="s">
        <v>2960</v>
      </c>
      <c r="K484" s="16" t="n">
        <v>55.1843109130859</v>
      </c>
      <c r="L484" s="16" t="n">
        <v>-1.54658639431</v>
      </c>
      <c r="M484" s="16" t="s">
        <v>98</v>
      </c>
      <c r="N484" s="16" t="s">
        <v>2932</v>
      </c>
      <c r="O484" s="16" t="s">
        <v>2933</v>
      </c>
      <c r="P484" s="16" t="s">
        <v>2961</v>
      </c>
      <c r="Q484" s="16" t="s">
        <v>100</v>
      </c>
    </row>
    <row r="485" customFormat="false" ht="15" hidden="false" customHeight="false" outlineLevel="0" collapsed="false">
      <c r="A485" s="16" t="n">
        <v>41961</v>
      </c>
      <c r="B485" s="16" t="s">
        <v>2962</v>
      </c>
      <c r="C485" s="16" t="s">
        <v>2963</v>
      </c>
      <c r="D485" s="16" t="s">
        <v>23</v>
      </c>
      <c r="E485" s="16" t="s">
        <v>94</v>
      </c>
      <c r="F485" s="16" t="s">
        <v>2928</v>
      </c>
      <c r="G485" s="16" t="s">
        <v>2964</v>
      </c>
      <c r="H485" s="16" t="s">
        <v>2930</v>
      </c>
      <c r="I485" s="16" t="s">
        <v>37</v>
      </c>
      <c r="J485" s="16" t="s">
        <v>2965</v>
      </c>
      <c r="K485" s="16" t="n">
        <v>55.3067741394043</v>
      </c>
      <c r="L485" s="16" t="n">
        <v>-1.91389930248261</v>
      </c>
      <c r="M485" s="16" t="s">
        <v>98</v>
      </c>
      <c r="N485" s="16" t="s">
        <v>2966</v>
      </c>
      <c r="O485" s="16" t="s">
        <v>2933</v>
      </c>
      <c r="P485" s="16" t="s">
        <v>2967</v>
      </c>
      <c r="Q485" s="16" t="s">
        <v>100</v>
      </c>
    </row>
    <row r="486" customFormat="false" ht="15" hidden="false" customHeight="false" outlineLevel="0" collapsed="false">
      <c r="A486" s="16" t="n">
        <v>41969</v>
      </c>
      <c r="B486" s="16" t="s">
        <v>2968</v>
      </c>
      <c r="C486" s="16" t="s">
        <v>2969</v>
      </c>
      <c r="D486" s="16" t="s">
        <v>23</v>
      </c>
      <c r="E486" s="16" t="s">
        <v>94</v>
      </c>
      <c r="F486" s="16" t="s">
        <v>2928</v>
      </c>
      <c r="G486" s="16" t="s">
        <v>2970</v>
      </c>
      <c r="H486" s="16" t="s">
        <v>279</v>
      </c>
      <c r="I486" s="16" t="s">
        <v>37</v>
      </c>
      <c r="J486" s="16" t="s">
        <v>2971</v>
      </c>
      <c r="K486" s="16" t="n">
        <v>55.0252418518066</v>
      </c>
      <c r="L486" s="16" t="n">
        <v>-1.46732449531555</v>
      </c>
      <c r="M486" s="16" t="s">
        <v>98</v>
      </c>
      <c r="N486" s="16" t="s">
        <v>2932</v>
      </c>
      <c r="O486" s="16" t="s">
        <v>2933</v>
      </c>
      <c r="P486" s="16" t="s">
        <v>2972</v>
      </c>
      <c r="Q486" s="16" t="s">
        <v>100</v>
      </c>
    </row>
    <row r="487" customFormat="false" ht="15" hidden="false" customHeight="false" outlineLevel="0" collapsed="false">
      <c r="A487" s="16" t="n">
        <v>41980</v>
      </c>
      <c r="B487" s="16" t="s">
        <v>2973</v>
      </c>
      <c r="C487" s="16" t="s">
        <v>2974</v>
      </c>
      <c r="D487" s="16" t="s">
        <v>23</v>
      </c>
      <c r="E487" s="16" t="s">
        <v>94</v>
      </c>
      <c r="F487" s="16" t="s">
        <v>2975</v>
      </c>
      <c r="G487" s="16" t="s">
        <v>219</v>
      </c>
      <c r="H487" s="16" t="s">
        <v>220</v>
      </c>
      <c r="I487" s="16" t="s">
        <v>36</v>
      </c>
      <c r="J487" s="16" t="s">
        <v>2976</v>
      </c>
      <c r="K487" s="16" t="n">
        <v>52.9143180847168</v>
      </c>
      <c r="L487" s="16" t="n">
        <v>-1.46863186359406</v>
      </c>
      <c r="M487" s="16" t="s">
        <v>98</v>
      </c>
      <c r="N487" s="16" t="s">
        <v>2977</v>
      </c>
      <c r="O487" s="16" t="s">
        <v>2978</v>
      </c>
      <c r="P487" s="16" t="s">
        <v>2979</v>
      </c>
      <c r="Q487" s="16" t="s">
        <v>100</v>
      </c>
    </row>
    <row r="488" customFormat="false" ht="15" hidden="false" customHeight="false" outlineLevel="0" collapsed="false">
      <c r="A488" s="16" t="n">
        <v>41982</v>
      </c>
      <c r="B488" s="16" t="s">
        <v>2980</v>
      </c>
      <c r="C488" s="16" t="s">
        <v>2981</v>
      </c>
      <c r="D488" s="16" t="s">
        <v>23</v>
      </c>
      <c r="E488" s="16" t="s">
        <v>94</v>
      </c>
      <c r="F488" s="16" t="s">
        <v>2975</v>
      </c>
      <c r="G488" s="16" t="s">
        <v>219</v>
      </c>
      <c r="H488" s="16" t="s">
        <v>220</v>
      </c>
      <c r="I488" s="16" t="s">
        <v>36</v>
      </c>
      <c r="J488" s="16" t="s">
        <v>2982</v>
      </c>
      <c r="K488" s="16" t="n">
        <v>52.9115562438965</v>
      </c>
      <c r="L488" s="16" t="n">
        <v>-1.51426470279694</v>
      </c>
      <c r="M488" s="16" t="s">
        <v>98</v>
      </c>
      <c r="N488" s="16" t="s">
        <v>2983</v>
      </c>
      <c r="O488" s="16" t="s">
        <v>2978</v>
      </c>
      <c r="P488" s="16" t="s">
        <v>2984</v>
      </c>
      <c r="Q488" s="16" t="s">
        <v>100</v>
      </c>
    </row>
    <row r="489" customFormat="false" ht="15" hidden="false" customHeight="false" outlineLevel="0" collapsed="false">
      <c r="A489" s="16" t="n">
        <v>41984</v>
      </c>
      <c r="B489" s="16" t="s">
        <v>2985</v>
      </c>
      <c r="C489" s="16" t="s">
        <v>2986</v>
      </c>
      <c r="D489" s="16" t="s">
        <v>23</v>
      </c>
      <c r="E489" s="16" t="s">
        <v>94</v>
      </c>
      <c r="F489" s="16" t="s">
        <v>2987</v>
      </c>
      <c r="G489" s="16" t="s">
        <v>329</v>
      </c>
      <c r="H489" s="16" t="s">
        <v>330</v>
      </c>
      <c r="I489" s="16" t="s">
        <v>29</v>
      </c>
      <c r="J489" s="16" t="s">
        <v>2988</v>
      </c>
      <c r="K489" s="16" t="n">
        <v>51.7503356933594</v>
      </c>
      <c r="L489" s="16" t="n">
        <v>-1.21469438076019</v>
      </c>
      <c r="M489" s="16" t="s">
        <v>98</v>
      </c>
      <c r="N489" s="16" t="s">
        <v>2989</v>
      </c>
      <c r="O489" s="16" t="s">
        <v>2990</v>
      </c>
      <c r="P489" s="16" t="s">
        <v>2991</v>
      </c>
      <c r="Q489" s="16" t="s">
        <v>100</v>
      </c>
    </row>
    <row r="490" customFormat="false" ht="15" hidden="false" customHeight="false" outlineLevel="0" collapsed="false">
      <c r="A490" s="16" t="n">
        <v>41986</v>
      </c>
      <c r="B490" s="16" t="s">
        <v>2992</v>
      </c>
      <c r="C490" s="16" t="s">
        <v>2993</v>
      </c>
      <c r="D490" s="16" t="s">
        <v>23</v>
      </c>
      <c r="E490" s="16" t="s">
        <v>94</v>
      </c>
      <c r="F490" s="16" t="s">
        <v>2987</v>
      </c>
      <c r="G490" s="16" t="s">
        <v>1156</v>
      </c>
      <c r="H490" s="16" t="s">
        <v>330</v>
      </c>
      <c r="I490" s="16" t="s">
        <v>29</v>
      </c>
      <c r="J490" s="16" t="s">
        <v>2994</v>
      </c>
      <c r="K490" s="16" t="n">
        <v>52.0544090270996</v>
      </c>
      <c r="L490" s="16" t="n">
        <v>-1.33717596530914</v>
      </c>
      <c r="M490" s="16" t="s">
        <v>98</v>
      </c>
      <c r="N490" s="16" t="s">
        <v>2989</v>
      </c>
      <c r="O490" s="16" t="s">
        <v>2990</v>
      </c>
      <c r="P490" s="16" t="s">
        <v>2995</v>
      </c>
      <c r="Q490" s="16" t="s">
        <v>100</v>
      </c>
    </row>
    <row r="491" customFormat="false" ht="15" hidden="false" customHeight="false" outlineLevel="0" collapsed="false">
      <c r="A491" s="16" t="n">
        <v>41987</v>
      </c>
      <c r="B491" s="16" t="s">
        <v>2996</v>
      </c>
      <c r="C491" s="16" t="s">
        <v>2997</v>
      </c>
      <c r="D491" s="16" t="s">
        <v>23</v>
      </c>
      <c r="E491" s="16" t="s">
        <v>94</v>
      </c>
      <c r="F491" s="16" t="s">
        <v>2987</v>
      </c>
      <c r="G491" s="16" t="s">
        <v>329</v>
      </c>
      <c r="H491" s="16" t="s">
        <v>330</v>
      </c>
      <c r="I491" s="16" t="s">
        <v>29</v>
      </c>
      <c r="J491" s="16" t="s">
        <v>2998</v>
      </c>
      <c r="K491" s="16" t="n">
        <v>51.7638740539551</v>
      </c>
      <c r="L491" s="16" t="n">
        <v>-1.21979200839996</v>
      </c>
      <c r="M491" s="16" t="s">
        <v>98</v>
      </c>
      <c r="N491" s="16" t="s">
        <v>2989</v>
      </c>
      <c r="O491" s="16" t="s">
        <v>2990</v>
      </c>
      <c r="P491" s="16" t="s">
        <v>2999</v>
      </c>
      <c r="Q491" s="16" t="s">
        <v>100</v>
      </c>
    </row>
    <row r="492" customFormat="false" ht="15" hidden="false" customHeight="false" outlineLevel="0" collapsed="false">
      <c r="A492" s="16" t="n">
        <v>42026</v>
      </c>
      <c r="B492" s="16" t="s">
        <v>3000</v>
      </c>
      <c r="C492" s="16" t="s">
        <v>3001</v>
      </c>
      <c r="D492" s="16" t="s">
        <v>23</v>
      </c>
      <c r="E492" s="16" t="s">
        <v>94</v>
      </c>
      <c r="F492" s="16" t="s">
        <v>3002</v>
      </c>
      <c r="G492" s="16" t="s">
        <v>721</v>
      </c>
      <c r="H492" s="16" t="s">
        <v>46</v>
      </c>
      <c r="I492" s="16" t="s">
        <v>29</v>
      </c>
      <c r="J492" s="16" t="s">
        <v>3003</v>
      </c>
      <c r="K492" s="16" t="n">
        <v>51.3778343200684</v>
      </c>
      <c r="L492" s="16" t="n">
        <v>-0.527046024799347</v>
      </c>
      <c r="M492" s="16" t="s">
        <v>98</v>
      </c>
      <c r="N492" s="16" t="s">
        <v>3004</v>
      </c>
      <c r="O492" s="16" t="s">
        <v>3005</v>
      </c>
      <c r="P492" s="16" t="s">
        <v>3006</v>
      </c>
      <c r="Q492" s="16" t="s">
        <v>100</v>
      </c>
    </row>
    <row r="493" customFormat="false" ht="15" hidden="false" customHeight="false" outlineLevel="0" collapsed="false">
      <c r="A493" s="16" t="n">
        <v>42027</v>
      </c>
      <c r="B493" s="16" t="s">
        <v>3007</v>
      </c>
      <c r="C493" s="16" t="s">
        <v>3008</v>
      </c>
      <c r="D493" s="16" t="s">
        <v>23</v>
      </c>
      <c r="E493" s="16" t="s">
        <v>94</v>
      </c>
      <c r="F493" s="16" t="s">
        <v>3002</v>
      </c>
      <c r="G493" s="16" t="s">
        <v>3009</v>
      </c>
      <c r="H493" s="16" t="s">
        <v>595</v>
      </c>
      <c r="I493" s="16" t="s">
        <v>33</v>
      </c>
      <c r="J493" s="16" t="s">
        <v>3010</v>
      </c>
      <c r="K493" s="16" t="n">
        <v>51.4440231323242</v>
      </c>
      <c r="L493" s="16" t="n">
        <v>-0.472798347473145</v>
      </c>
      <c r="M493" s="16" t="s">
        <v>98</v>
      </c>
      <c r="N493" s="16" t="s">
        <v>3011</v>
      </c>
      <c r="O493" s="16" t="s">
        <v>3005</v>
      </c>
      <c r="P493" s="16" t="s">
        <v>3006</v>
      </c>
      <c r="Q493" s="16" t="s">
        <v>100</v>
      </c>
    </row>
    <row r="494" customFormat="false" ht="15" hidden="false" customHeight="false" outlineLevel="0" collapsed="false">
      <c r="A494" s="16" t="n">
        <v>42109</v>
      </c>
      <c r="B494" s="16" t="s">
        <v>3012</v>
      </c>
      <c r="C494" s="16" t="s">
        <v>3013</v>
      </c>
      <c r="D494" s="16" t="s">
        <v>23</v>
      </c>
      <c r="E494" s="16" t="s">
        <v>94</v>
      </c>
      <c r="F494" s="16" t="s">
        <v>3014</v>
      </c>
      <c r="G494" s="16" t="s">
        <v>3015</v>
      </c>
      <c r="H494" s="16" t="s">
        <v>303</v>
      </c>
      <c r="I494" s="16" t="s">
        <v>37</v>
      </c>
      <c r="J494" s="16" t="s">
        <v>3016</v>
      </c>
      <c r="K494" s="16" t="n">
        <v>54.5652694702149</v>
      </c>
      <c r="L494" s="16" t="n">
        <v>-0.936341345310211</v>
      </c>
      <c r="M494" s="16" t="s">
        <v>98</v>
      </c>
      <c r="N494" s="16" t="s">
        <v>3017</v>
      </c>
      <c r="O494" s="16"/>
      <c r="P494" s="16"/>
      <c r="Q494" s="16" t="s">
        <v>100</v>
      </c>
    </row>
    <row r="495" customFormat="false" ht="15" hidden="false" customHeight="false" outlineLevel="0" collapsed="false">
      <c r="A495" s="16" t="n">
        <v>42129</v>
      </c>
      <c r="B495" s="16" t="s">
        <v>3018</v>
      </c>
      <c r="C495" s="16" t="s">
        <v>3019</v>
      </c>
      <c r="D495" s="16" t="s">
        <v>23</v>
      </c>
      <c r="E495" s="16" t="s">
        <v>94</v>
      </c>
      <c r="F495" s="16" t="s">
        <v>3014</v>
      </c>
      <c r="G495" s="16" t="s">
        <v>3020</v>
      </c>
      <c r="H495" s="16" t="s">
        <v>54</v>
      </c>
      <c r="I495" s="16" t="s">
        <v>35</v>
      </c>
      <c r="J495" s="16" t="s">
        <v>3021</v>
      </c>
      <c r="K495" s="16" t="n">
        <v>54.3423347473145</v>
      </c>
      <c r="L495" s="16" t="n">
        <v>-1.43051874637604</v>
      </c>
      <c r="M495" s="16" t="s">
        <v>98</v>
      </c>
      <c r="N495" s="16" t="s">
        <v>3022</v>
      </c>
      <c r="O495" s="16"/>
      <c r="P495" s="16" t="s">
        <v>3023</v>
      </c>
      <c r="Q495" s="16" t="s">
        <v>100</v>
      </c>
    </row>
    <row r="496" customFormat="false" ht="15" hidden="false" customHeight="false" outlineLevel="0" collapsed="false">
      <c r="A496" s="16" t="n">
        <v>42130</v>
      </c>
      <c r="B496" s="16" t="s">
        <v>3024</v>
      </c>
      <c r="C496" s="16" t="s">
        <v>3025</v>
      </c>
      <c r="D496" s="16" t="s">
        <v>23</v>
      </c>
      <c r="E496" s="16" t="s">
        <v>94</v>
      </c>
      <c r="F496" s="16" t="s">
        <v>3014</v>
      </c>
      <c r="G496" s="16" t="s">
        <v>3026</v>
      </c>
      <c r="H496" s="16" t="s">
        <v>303</v>
      </c>
      <c r="I496" s="16" t="s">
        <v>37</v>
      </c>
      <c r="J496" s="16" t="s">
        <v>3027</v>
      </c>
      <c r="K496" s="16" t="n">
        <v>54.5388374328613</v>
      </c>
      <c r="L496" s="16" t="n">
        <v>-1.0521467924118</v>
      </c>
      <c r="M496" s="16" t="s">
        <v>98</v>
      </c>
      <c r="N496" s="16" t="s">
        <v>3028</v>
      </c>
      <c r="O496" s="16"/>
      <c r="P496" s="16" t="s">
        <v>3023</v>
      </c>
      <c r="Q496" s="16" t="s">
        <v>100</v>
      </c>
    </row>
    <row r="497" customFormat="false" ht="15" hidden="false" customHeight="false" outlineLevel="0" collapsed="false">
      <c r="A497" s="16" t="n">
        <v>42131</v>
      </c>
      <c r="B497" s="16" t="s">
        <v>3029</v>
      </c>
      <c r="C497" s="16" t="s">
        <v>3030</v>
      </c>
      <c r="D497" s="16" t="s">
        <v>23</v>
      </c>
      <c r="E497" s="16" t="s">
        <v>94</v>
      </c>
      <c r="F497" s="16" t="s">
        <v>3014</v>
      </c>
      <c r="G497" s="16" t="s">
        <v>3031</v>
      </c>
      <c r="H497" s="16" t="s">
        <v>303</v>
      </c>
      <c r="I497" s="16" t="s">
        <v>37</v>
      </c>
      <c r="J497" s="16" t="s">
        <v>3032</v>
      </c>
      <c r="K497" s="16" t="n">
        <v>54.5517578125</v>
      </c>
      <c r="L497" s="16" t="n">
        <v>-1.21478998661041</v>
      </c>
      <c r="M497" s="16" t="s">
        <v>98</v>
      </c>
      <c r="N497" s="16" t="s">
        <v>3033</v>
      </c>
      <c r="O497" s="16"/>
      <c r="P497" s="16" t="s">
        <v>3034</v>
      </c>
      <c r="Q497" s="16" t="s">
        <v>100</v>
      </c>
    </row>
    <row r="498" customFormat="false" ht="15" hidden="false" customHeight="false" outlineLevel="0" collapsed="false">
      <c r="A498" s="16" t="n">
        <v>42182</v>
      </c>
      <c r="B498" s="16" t="s">
        <v>3035</v>
      </c>
      <c r="C498" s="16" t="s">
        <v>3036</v>
      </c>
      <c r="D498" s="16" t="s">
        <v>23</v>
      </c>
      <c r="E498" s="16" t="s">
        <v>94</v>
      </c>
      <c r="F498" s="16" t="s">
        <v>3037</v>
      </c>
      <c r="G498" s="16" t="s">
        <v>807</v>
      </c>
      <c r="H498" s="16" t="s">
        <v>47</v>
      </c>
      <c r="I498" s="16" t="s">
        <v>31</v>
      </c>
      <c r="J498" s="16" t="s">
        <v>3038</v>
      </c>
      <c r="K498" s="16" t="n">
        <v>54.0427322387695</v>
      </c>
      <c r="L498" s="16" t="n">
        <v>-2.79921722412109</v>
      </c>
      <c r="M498" s="16" t="s">
        <v>98</v>
      </c>
      <c r="N498" s="16" t="s">
        <v>3039</v>
      </c>
      <c r="O498" s="16" t="s">
        <v>3040</v>
      </c>
      <c r="P498" s="16" t="s">
        <v>3041</v>
      </c>
      <c r="Q498" s="16" t="s">
        <v>100</v>
      </c>
    </row>
    <row r="499" customFormat="false" ht="15" hidden="false" customHeight="false" outlineLevel="0" collapsed="false">
      <c r="A499" s="16" t="n">
        <v>42186</v>
      </c>
      <c r="B499" s="16" t="s">
        <v>3042</v>
      </c>
      <c r="C499" s="16" t="s">
        <v>3043</v>
      </c>
      <c r="D499" s="16" t="s">
        <v>23</v>
      </c>
      <c r="E499" s="16" t="s">
        <v>94</v>
      </c>
      <c r="F499" s="16" t="s">
        <v>3037</v>
      </c>
      <c r="G499" s="16" t="s">
        <v>3044</v>
      </c>
      <c r="H499" s="16" t="s">
        <v>2585</v>
      </c>
      <c r="I499" s="16" t="s">
        <v>31</v>
      </c>
      <c r="J499" s="16" t="s">
        <v>3045</v>
      </c>
      <c r="K499" s="16" t="n">
        <v>54.136402130127</v>
      </c>
      <c r="L499" s="16" t="n">
        <v>-3.2078845500946</v>
      </c>
      <c r="M499" s="16" t="s">
        <v>98</v>
      </c>
      <c r="N499" s="16" t="s">
        <v>3046</v>
      </c>
      <c r="O499" s="16" t="s">
        <v>3040</v>
      </c>
      <c r="P499" s="16" t="s">
        <v>3041</v>
      </c>
      <c r="Q499" s="16" t="s">
        <v>100</v>
      </c>
    </row>
    <row r="500" customFormat="false" ht="15" hidden="false" customHeight="false" outlineLevel="0" collapsed="false">
      <c r="A500" s="16" t="n">
        <v>42187</v>
      </c>
      <c r="B500" s="16" t="s">
        <v>3047</v>
      </c>
      <c r="C500" s="16" t="s">
        <v>3048</v>
      </c>
      <c r="D500" s="16" t="s">
        <v>23</v>
      </c>
      <c r="E500" s="16" t="s">
        <v>94</v>
      </c>
      <c r="F500" s="16" t="s">
        <v>3037</v>
      </c>
      <c r="G500" s="16" t="s">
        <v>3049</v>
      </c>
      <c r="H500" s="16" t="s">
        <v>2433</v>
      </c>
      <c r="I500" s="16" t="s">
        <v>38</v>
      </c>
      <c r="J500" s="16" t="s">
        <v>3050</v>
      </c>
      <c r="K500" s="16" t="n">
        <v>54.3067092895508</v>
      </c>
      <c r="L500" s="16" t="n">
        <v>-2.73253679275513</v>
      </c>
      <c r="M500" s="16" t="s">
        <v>98</v>
      </c>
      <c r="N500" s="16" t="s">
        <v>3051</v>
      </c>
      <c r="O500" s="16" t="s">
        <v>3040</v>
      </c>
      <c r="P500" s="16" t="s">
        <v>3041</v>
      </c>
      <c r="Q500" s="16" t="s">
        <v>100</v>
      </c>
    </row>
    <row r="501" customFormat="false" ht="15" hidden="false" customHeight="false" outlineLevel="0" collapsed="false">
      <c r="A501" s="16" t="n">
        <v>42192</v>
      </c>
      <c r="B501" s="16" t="s">
        <v>3052</v>
      </c>
      <c r="C501" s="16" t="s">
        <v>3053</v>
      </c>
      <c r="D501" s="16" t="s">
        <v>23</v>
      </c>
      <c r="E501" s="16" t="s">
        <v>94</v>
      </c>
      <c r="F501" s="16" t="s">
        <v>3054</v>
      </c>
      <c r="G501" s="16" t="s">
        <v>33</v>
      </c>
      <c r="H501" s="16" t="s">
        <v>44</v>
      </c>
      <c r="I501" s="16" t="s">
        <v>33</v>
      </c>
      <c r="J501" s="16" t="s">
        <v>3055</v>
      </c>
      <c r="K501" s="16" t="n">
        <v>51.4923400878906</v>
      </c>
      <c r="L501" s="16" t="n">
        <v>-0.135774716734886</v>
      </c>
      <c r="M501" s="16" t="s">
        <v>98</v>
      </c>
      <c r="N501" s="16" t="s">
        <v>3056</v>
      </c>
      <c r="O501" s="16"/>
      <c r="P501" s="16" t="s">
        <v>3057</v>
      </c>
      <c r="Q501" s="16" t="s">
        <v>100</v>
      </c>
    </row>
    <row r="502" customFormat="false" ht="15" hidden="false" customHeight="false" outlineLevel="0" collapsed="false">
      <c r="A502" s="16" t="n">
        <v>42194</v>
      </c>
      <c r="B502" s="16" t="s">
        <v>3058</v>
      </c>
      <c r="C502" s="16" t="s">
        <v>3059</v>
      </c>
      <c r="D502" s="16" t="s">
        <v>23</v>
      </c>
      <c r="E502" s="16" t="s">
        <v>94</v>
      </c>
      <c r="F502" s="16" t="s">
        <v>3054</v>
      </c>
      <c r="G502" s="16" t="s">
        <v>1464</v>
      </c>
      <c r="H502" s="16" t="s">
        <v>595</v>
      </c>
      <c r="I502" s="16" t="s">
        <v>33</v>
      </c>
      <c r="J502" s="16" t="s">
        <v>1465</v>
      </c>
      <c r="K502" s="16" t="n">
        <v>51.5260772705078</v>
      </c>
      <c r="L502" s="16" t="n">
        <v>-0.461160361766815</v>
      </c>
      <c r="M502" s="16" t="s">
        <v>98</v>
      </c>
      <c r="N502" s="16"/>
      <c r="O502" s="16"/>
      <c r="P502" s="16"/>
      <c r="Q502" s="16" t="s">
        <v>100</v>
      </c>
    </row>
    <row r="503" customFormat="false" ht="15" hidden="false" customHeight="false" outlineLevel="0" collapsed="false">
      <c r="A503" s="16" t="n">
        <v>42210</v>
      </c>
      <c r="B503" s="16" t="s">
        <v>3060</v>
      </c>
      <c r="C503" s="16" t="s">
        <v>3061</v>
      </c>
      <c r="D503" s="16" t="s">
        <v>23</v>
      </c>
      <c r="E503" s="16" t="s">
        <v>94</v>
      </c>
      <c r="F503" s="16" t="s">
        <v>3062</v>
      </c>
      <c r="G503" s="16" t="s">
        <v>33</v>
      </c>
      <c r="H503" s="16" t="s">
        <v>44</v>
      </c>
      <c r="I503" s="16" t="s">
        <v>33</v>
      </c>
      <c r="J503" s="16" t="s">
        <v>3063</v>
      </c>
      <c r="K503" s="16" t="n">
        <v>51.4653167724609</v>
      </c>
      <c r="L503" s="16" t="n">
        <v>-0.12223457545042</v>
      </c>
      <c r="M503" s="16" t="s">
        <v>98</v>
      </c>
      <c r="N503" s="16" t="s">
        <v>3064</v>
      </c>
      <c r="O503" s="16"/>
      <c r="P503" s="16" t="s">
        <v>3065</v>
      </c>
      <c r="Q503" s="16" t="s">
        <v>100</v>
      </c>
    </row>
    <row r="504" customFormat="false" ht="15" hidden="false" customHeight="false" outlineLevel="0" collapsed="false">
      <c r="A504" s="16" t="n">
        <v>42211</v>
      </c>
      <c r="B504" s="16" t="s">
        <v>3066</v>
      </c>
      <c r="C504" s="16" t="s">
        <v>3067</v>
      </c>
      <c r="D504" s="16" t="s">
        <v>23</v>
      </c>
      <c r="E504" s="16" t="s">
        <v>94</v>
      </c>
      <c r="F504" s="16" t="s">
        <v>3062</v>
      </c>
      <c r="G504" s="16" t="s">
        <v>33</v>
      </c>
      <c r="H504" s="16" t="s">
        <v>44</v>
      </c>
      <c r="I504" s="16" t="s">
        <v>33</v>
      </c>
      <c r="J504" s="16" t="s">
        <v>3068</v>
      </c>
      <c r="K504" s="16" t="n">
        <v>51.4687385559082</v>
      </c>
      <c r="L504" s="16" t="n">
        <v>-0.0914261564612388</v>
      </c>
      <c r="M504" s="16" t="s">
        <v>98</v>
      </c>
      <c r="N504" s="16" t="s">
        <v>3064</v>
      </c>
      <c r="O504" s="16"/>
      <c r="P504" s="16" t="s">
        <v>3069</v>
      </c>
      <c r="Q504" s="16" t="s">
        <v>100</v>
      </c>
    </row>
    <row r="505" customFormat="false" ht="15" hidden="false" customHeight="false" outlineLevel="0" collapsed="false">
      <c r="A505" s="16" t="n">
        <v>42212</v>
      </c>
      <c r="B505" s="16" t="s">
        <v>3070</v>
      </c>
      <c r="C505" s="16" t="s">
        <v>3071</v>
      </c>
      <c r="D505" s="16" t="s">
        <v>23</v>
      </c>
      <c r="E505" s="16" t="s">
        <v>94</v>
      </c>
      <c r="F505" s="16" t="s">
        <v>3062</v>
      </c>
      <c r="G505" s="16" t="s">
        <v>3072</v>
      </c>
      <c r="H505" s="16" t="s">
        <v>46</v>
      </c>
      <c r="I505" s="16" t="s">
        <v>29</v>
      </c>
      <c r="J505" s="16" t="s">
        <v>3073</v>
      </c>
      <c r="K505" s="16" t="n">
        <v>51.3809204101563</v>
      </c>
      <c r="L505" s="16" t="n">
        <v>-0.0297530982643365</v>
      </c>
      <c r="M505" s="16" t="s">
        <v>98</v>
      </c>
      <c r="N505" s="16" t="s">
        <v>3064</v>
      </c>
      <c r="O505" s="16"/>
      <c r="P505" s="16" t="s">
        <v>3074</v>
      </c>
      <c r="Q505" s="16" t="s">
        <v>100</v>
      </c>
    </row>
    <row r="506" customFormat="false" ht="15" hidden="false" customHeight="false" outlineLevel="0" collapsed="false">
      <c r="A506" s="16" t="n">
        <v>42248</v>
      </c>
      <c r="B506" s="16" t="s">
        <v>3075</v>
      </c>
      <c r="C506" s="16" t="s">
        <v>3076</v>
      </c>
      <c r="D506" s="16" t="s">
        <v>23</v>
      </c>
      <c r="E506" s="16" t="s">
        <v>94</v>
      </c>
      <c r="F506" s="16" t="s">
        <v>74</v>
      </c>
      <c r="G506" s="16" t="s">
        <v>3077</v>
      </c>
      <c r="H506" s="16" t="s">
        <v>3078</v>
      </c>
      <c r="I506" s="16" t="s">
        <v>35</v>
      </c>
      <c r="J506" s="16" t="s">
        <v>3079</v>
      </c>
      <c r="K506" s="16" t="n">
        <v>53.7285346984863</v>
      </c>
      <c r="L506" s="16" t="n">
        <v>0.0340335890650749</v>
      </c>
      <c r="M506" s="16" t="s">
        <v>98</v>
      </c>
      <c r="N506" s="16" t="s">
        <v>3080</v>
      </c>
      <c r="O506" s="16" t="s">
        <v>3081</v>
      </c>
      <c r="P506" s="16" t="s">
        <v>3082</v>
      </c>
      <c r="Q506" s="16" t="s">
        <v>100</v>
      </c>
    </row>
    <row r="507" customFormat="false" ht="15" hidden="false" customHeight="false" outlineLevel="0" collapsed="false">
      <c r="A507" s="16" t="n">
        <v>42256</v>
      </c>
      <c r="B507" s="16" t="s">
        <v>3083</v>
      </c>
      <c r="C507" s="16" t="s">
        <v>3084</v>
      </c>
      <c r="D507" s="16" t="s">
        <v>23</v>
      </c>
      <c r="E507" s="16" t="s">
        <v>94</v>
      </c>
      <c r="F507" s="16" t="s">
        <v>74</v>
      </c>
      <c r="G507" s="16" t="s">
        <v>551</v>
      </c>
      <c r="H507" s="16" t="s">
        <v>552</v>
      </c>
      <c r="I507" s="16" t="s">
        <v>35</v>
      </c>
      <c r="J507" s="16" t="s">
        <v>3085</v>
      </c>
      <c r="K507" s="16" t="n">
        <v>53.7420120239258</v>
      </c>
      <c r="L507" s="16" t="n">
        <v>-0.384643077850342</v>
      </c>
      <c r="M507" s="16" t="s">
        <v>98</v>
      </c>
      <c r="N507" s="16" t="s">
        <v>3086</v>
      </c>
      <c r="O507" s="16" t="s">
        <v>3081</v>
      </c>
      <c r="P507" s="16" t="s">
        <v>3082</v>
      </c>
      <c r="Q507" s="16" t="s">
        <v>100</v>
      </c>
    </row>
    <row r="508" customFormat="false" ht="15" hidden="false" customHeight="false" outlineLevel="0" collapsed="false">
      <c r="A508" s="16" t="n">
        <v>42257</v>
      </c>
      <c r="B508" s="16" t="s">
        <v>3087</v>
      </c>
      <c r="C508" s="16" t="s">
        <v>3088</v>
      </c>
      <c r="D508" s="16" t="s">
        <v>23</v>
      </c>
      <c r="E508" s="16" t="s">
        <v>94</v>
      </c>
      <c r="F508" s="16" t="s">
        <v>74</v>
      </c>
      <c r="G508" s="16" t="s">
        <v>551</v>
      </c>
      <c r="H508" s="16" t="s">
        <v>552</v>
      </c>
      <c r="I508" s="16" t="s">
        <v>35</v>
      </c>
      <c r="J508" s="16" t="s">
        <v>3089</v>
      </c>
      <c r="K508" s="16" t="n">
        <v>53.7499389648438</v>
      </c>
      <c r="L508" s="16" t="n">
        <v>-0.308325260877609</v>
      </c>
      <c r="M508" s="16" t="s">
        <v>98</v>
      </c>
      <c r="N508" s="16" t="s">
        <v>3090</v>
      </c>
      <c r="O508" s="16" t="s">
        <v>3081</v>
      </c>
      <c r="P508" s="16" t="s">
        <v>3082</v>
      </c>
      <c r="Q508" s="16" t="s">
        <v>100</v>
      </c>
    </row>
    <row r="509" customFormat="false" ht="15" hidden="false" customHeight="false" outlineLevel="0" collapsed="false">
      <c r="A509" s="16" t="n">
        <v>42259</v>
      </c>
      <c r="B509" s="16" t="s">
        <v>3091</v>
      </c>
      <c r="C509" s="16" t="s">
        <v>3092</v>
      </c>
      <c r="D509" s="16" t="s">
        <v>23</v>
      </c>
      <c r="E509" s="16" t="s">
        <v>94</v>
      </c>
      <c r="F509" s="16" t="s">
        <v>74</v>
      </c>
      <c r="G509" s="16" t="s">
        <v>551</v>
      </c>
      <c r="H509" s="16" t="s">
        <v>552</v>
      </c>
      <c r="I509" s="16" t="s">
        <v>35</v>
      </c>
      <c r="J509" s="16" t="s">
        <v>3093</v>
      </c>
      <c r="K509" s="16" t="n">
        <v>53.7735786437988</v>
      </c>
      <c r="L509" s="16" t="n">
        <v>-0.286600291728973</v>
      </c>
      <c r="M509" s="16" t="s">
        <v>98</v>
      </c>
      <c r="N509" s="16" t="s">
        <v>3094</v>
      </c>
      <c r="O509" s="16" t="s">
        <v>3081</v>
      </c>
      <c r="P509" s="16" t="s">
        <v>3082</v>
      </c>
      <c r="Q509" s="16" t="s">
        <v>100</v>
      </c>
    </row>
    <row r="510" customFormat="false" ht="15" hidden="false" customHeight="false" outlineLevel="0" collapsed="false">
      <c r="A510" s="16" t="n">
        <v>42260</v>
      </c>
      <c r="B510" s="16" t="s">
        <v>3095</v>
      </c>
      <c r="C510" s="16" t="s">
        <v>3096</v>
      </c>
      <c r="D510" s="16" t="s">
        <v>23</v>
      </c>
      <c r="E510" s="16" t="s">
        <v>94</v>
      </c>
      <c r="F510" s="16" t="s">
        <v>74</v>
      </c>
      <c r="G510" s="16" t="s">
        <v>3097</v>
      </c>
      <c r="H510" s="16" t="s">
        <v>3078</v>
      </c>
      <c r="I510" s="16" t="s">
        <v>35</v>
      </c>
      <c r="J510" s="16" t="s">
        <v>3098</v>
      </c>
      <c r="K510" s="16" t="n">
        <v>53.8457641601563</v>
      </c>
      <c r="L510" s="16" t="n">
        <v>-0.434097558259964</v>
      </c>
      <c r="M510" s="16" t="s">
        <v>98</v>
      </c>
      <c r="N510" s="16" t="s">
        <v>3099</v>
      </c>
      <c r="O510" s="16" t="s">
        <v>3081</v>
      </c>
      <c r="P510" s="16" t="s">
        <v>3082</v>
      </c>
      <c r="Q510" s="16" t="s">
        <v>100</v>
      </c>
    </row>
    <row r="511" customFormat="false" ht="15" hidden="false" customHeight="false" outlineLevel="0" collapsed="false">
      <c r="A511" s="16" t="n">
        <v>42262</v>
      </c>
      <c r="B511" s="16" t="s">
        <v>3100</v>
      </c>
      <c r="C511" s="16" t="s">
        <v>3101</v>
      </c>
      <c r="D511" s="16" t="s">
        <v>23</v>
      </c>
      <c r="E511" s="16" t="s">
        <v>94</v>
      </c>
      <c r="F511" s="16" t="s">
        <v>74</v>
      </c>
      <c r="G511" s="16" t="s">
        <v>551</v>
      </c>
      <c r="H511" s="16" t="s">
        <v>552</v>
      </c>
      <c r="I511" s="16" t="s">
        <v>35</v>
      </c>
      <c r="J511" s="16" t="s">
        <v>3102</v>
      </c>
      <c r="K511" s="16" t="n">
        <v>53.7443580627441</v>
      </c>
      <c r="L511" s="16" t="n">
        <v>-0.362185776233673</v>
      </c>
      <c r="M511" s="16" t="s">
        <v>98</v>
      </c>
      <c r="N511" s="16" t="s">
        <v>3103</v>
      </c>
      <c r="O511" s="16" t="s">
        <v>3081</v>
      </c>
      <c r="P511" s="16" t="s">
        <v>3082</v>
      </c>
      <c r="Q511" s="16" t="s">
        <v>100</v>
      </c>
    </row>
    <row r="512" customFormat="false" ht="15" hidden="false" customHeight="false" outlineLevel="0" collapsed="false">
      <c r="A512" s="16" t="n">
        <v>42268</v>
      </c>
      <c r="B512" s="16" t="s">
        <v>3104</v>
      </c>
      <c r="C512" s="16" t="s">
        <v>3105</v>
      </c>
      <c r="D512" s="16" t="s">
        <v>23</v>
      </c>
      <c r="E512" s="16" t="s">
        <v>94</v>
      </c>
      <c r="F512" s="16" t="s">
        <v>3106</v>
      </c>
      <c r="G512" s="16" t="s">
        <v>192</v>
      </c>
      <c r="H512" s="16" t="s">
        <v>56</v>
      </c>
      <c r="I512" s="16" t="s">
        <v>30</v>
      </c>
      <c r="J512" s="16" t="s">
        <v>3107</v>
      </c>
      <c r="K512" s="16" t="n">
        <v>51.4948120117188</v>
      </c>
      <c r="L512" s="16" t="n">
        <v>-2.59100031852722</v>
      </c>
      <c r="M512" s="16" t="s">
        <v>98</v>
      </c>
      <c r="N512" s="16" t="s">
        <v>3108</v>
      </c>
      <c r="O512" s="16" t="s">
        <v>3109</v>
      </c>
      <c r="P512" s="16" t="s">
        <v>3110</v>
      </c>
      <c r="Q512" s="16" t="s">
        <v>100</v>
      </c>
    </row>
    <row r="513" customFormat="false" ht="15" hidden="false" customHeight="false" outlineLevel="0" collapsed="false">
      <c r="A513" s="16" t="n">
        <v>42279</v>
      </c>
      <c r="B513" s="16" t="s">
        <v>3111</v>
      </c>
      <c r="C513" s="16" t="s">
        <v>3112</v>
      </c>
      <c r="D513" s="16" t="s">
        <v>23</v>
      </c>
      <c r="E513" s="16" t="s">
        <v>94</v>
      </c>
      <c r="F513" s="16" t="s">
        <v>3106</v>
      </c>
      <c r="G513" s="16" t="s">
        <v>192</v>
      </c>
      <c r="H513" s="16" t="s">
        <v>56</v>
      </c>
      <c r="I513" s="16" t="s">
        <v>30</v>
      </c>
      <c r="J513" s="16" t="s">
        <v>3113</v>
      </c>
      <c r="K513" s="16" t="n">
        <v>51.4966011047363</v>
      </c>
      <c r="L513" s="16" t="n">
        <v>-2.52840399742127</v>
      </c>
      <c r="M513" s="16" t="s">
        <v>98</v>
      </c>
      <c r="N513" s="16" t="s">
        <v>3108</v>
      </c>
      <c r="O513" s="16" t="s">
        <v>3109</v>
      </c>
      <c r="P513" s="16" t="s">
        <v>3110</v>
      </c>
      <c r="Q513" s="16" t="s">
        <v>100</v>
      </c>
    </row>
    <row r="514" customFormat="false" ht="15" hidden="false" customHeight="false" outlineLevel="0" collapsed="false">
      <c r="A514" s="16" t="n">
        <v>42280</v>
      </c>
      <c r="B514" s="16" t="s">
        <v>3114</v>
      </c>
      <c r="C514" s="16" t="s">
        <v>3115</v>
      </c>
      <c r="D514" s="16" t="s">
        <v>23</v>
      </c>
      <c r="E514" s="16" t="s">
        <v>94</v>
      </c>
      <c r="F514" s="16" t="s">
        <v>3106</v>
      </c>
      <c r="G514" s="16" t="s">
        <v>192</v>
      </c>
      <c r="H514" s="16" t="s">
        <v>56</v>
      </c>
      <c r="I514" s="16" t="s">
        <v>30</v>
      </c>
      <c r="J514" s="16" t="s">
        <v>3116</v>
      </c>
      <c r="K514" s="16" t="n">
        <v>51.4688911437988</v>
      </c>
      <c r="L514" s="16" t="n">
        <v>-2.51610565185547</v>
      </c>
      <c r="M514" s="16" t="s">
        <v>98</v>
      </c>
      <c r="N514" s="16" t="s">
        <v>3117</v>
      </c>
      <c r="O514" s="16" t="s">
        <v>3109</v>
      </c>
      <c r="P514" s="16" t="s">
        <v>3110</v>
      </c>
      <c r="Q514" s="16" t="s">
        <v>100</v>
      </c>
    </row>
    <row r="515" customFormat="false" ht="15" hidden="false" customHeight="false" outlineLevel="0" collapsed="false">
      <c r="A515" s="16" t="n">
        <v>42316</v>
      </c>
      <c r="B515" s="16" t="s">
        <v>3118</v>
      </c>
      <c r="C515" s="16" t="s">
        <v>3119</v>
      </c>
      <c r="D515" s="16" t="s">
        <v>23</v>
      </c>
      <c r="E515" s="16" t="s">
        <v>94</v>
      </c>
      <c r="F515" s="16" t="s">
        <v>3120</v>
      </c>
      <c r="G515" s="16" t="s">
        <v>573</v>
      </c>
      <c r="H515" s="16" t="s">
        <v>56</v>
      </c>
      <c r="I515" s="16" t="s">
        <v>30</v>
      </c>
      <c r="J515" s="16" t="s">
        <v>3121</v>
      </c>
      <c r="K515" s="16" t="n">
        <v>51.3581733703613</v>
      </c>
      <c r="L515" s="16" t="n">
        <v>-2.37260699272156</v>
      </c>
      <c r="M515" s="16" t="s">
        <v>98</v>
      </c>
      <c r="N515" s="16" t="s">
        <v>3122</v>
      </c>
      <c r="O515" s="16"/>
      <c r="P515" s="16" t="s">
        <v>3123</v>
      </c>
      <c r="Q515" s="16" t="s">
        <v>100</v>
      </c>
    </row>
    <row r="516" customFormat="false" ht="15" hidden="false" customHeight="false" outlineLevel="0" collapsed="false">
      <c r="A516" s="16" t="n">
        <v>42324</v>
      </c>
      <c r="B516" s="16" t="s">
        <v>3124</v>
      </c>
      <c r="C516" s="16" t="s">
        <v>3125</v>
      </c>
      <c r="D516" s="16" t="s">
        <v>23</v>
      </c>
      <c r="E516" s="16" t="s">
        <v>94</v>
      </c>
      <c r="F516" s="16" t="s">
        <v>3120</v>
      </c>
      <c r="G516" s="16" t="s">
        <v>192</v>
      </c>
      <c r="H516" s="16" t="s">
        <v>56</v>
      </c>
      <c r="I516" s="16" t="s">
        <v>30</v>
      </c>
      <c r="J516" s="16" t="s">
        <v>3126</v>
      </c>
      <c r="K516" s="16" t="n">
        <v>51.4831504821777</v>
      </c>
      <c r="L516" s="16" t="n">
        <v>-2.53881859779358</v>
      </c>
      <c r="M516" s="16" t="s">
        <v>98</v>
      </c>
      <c r="N516" s="16" t="s">
        <v>3127</v>
      </c>
      <c r="O516" s="16"/>
      <c r="P516" s="16" t="s">
        <v>3123</v>
      </c>
      <c r="Q516" s="16" t="s">
        <v>100</v>
      </c>
    </row>
    <row r="517" customFormat="false" ht="15" hidden="false" customHeight="false" outlineLevel="0" collapsed="false">
      <c r="A517" s="16" t="n">
        <v>42330</v>
      </c>
      <c r="B517" s="16" t="s">
        <v>3128</v>
      </c>
      <c r="C517" s="16" t="s">
        <v>3129</v>
      </c>
      <c r="D517" s="16" t="s">
        <v>23</v>
      </c>
      <c r="E517" s="16" t="s">
        <v>94</v>
      </c>
      <c r="F517" s="16" t="s">
        <v>3120</v>
      </c>
      <c r="G517" s="16" t="s">
        <v>2618</v>
      </c>
      <c r="H517" s="16" t="s">
        <v>714</v>
      </c>
      <c r="I517" s="16" t="s">
        <v>30</v>
      </c>
      <c r="J517" s="16" t="s">
        <v>3130</v>
      </c>
      <c r="K517" s="16" t="n">
        <v>51.3391532897949</v>
      </c>
      <c r="L517" s="16" t="n">
        <v>-1.98128855228424</v>
      </c>
      <c r="M517" s="16" t="s">
        <v>98</v>
      </c>
      <c r="N517" s="16" t="s">
        <v>3131</v>
      </c>
      <c r="O517" s="16" t="s">
        <v>3132</v>
      </c>
      <c r="P517" s="16" t="s">
        <v>3133</v>
      </c>
      <c r="Q517" s="16" t="s">
        <v>100</v>
      </c>
    </row>
    <row r="518" customFormat="false" ht="15" hidden="false" customHeight="false" outlineLevel="0" collapsed="false">
      <c r="A518" s="16" t="n">
        <v>42343</v>
      </c>
      <c r="B518" s="16" t="s">
        <v>3134</v>
      </c>
      <c r="C518" s="16" t="s">
        <v>3135</v>
      </c>
      <c r="D518" s="16" t="s">
        <v>23</v>
      </c>
      <c r="E518" s="16" t="s">
        <v>94</v>
      </c>
      <c r="F518" s="16" t="s">
        <v>3120</v>
      </c>
      <c r="G518" s="16" t="s">
        <v>192</v>
      </c>
      <c r="H518" s="16" t="s">
        <v>56</v>
      </c>
      <c r="I518" s="16" t="s">
        <v>30</v>
      </c>
      <c r="J518" s="16" t="s">
        <v>3136</v>
      </c>
      <c r="K518" s="16" t="n">
        <v>51.4312705993652</v>
      </c>
      <c r="L518" s="16" t="n">
        <v>-2.55754089355469</v>
      </c>
      <c r="M518" s="16" t="s">
        <v>98</v>
      </c>
      <c r="N518" s="16" t="s">
        <v>3137</v>
      </c>
      <c r="O518" s="16"/>
      <c r="P518" s="16" t="s">
        <v>3123</v>
      </c>
      <c r="Q518" s="16" t="s">
        <v>100</v>
      </c>
    </row>
    <row r="519" customFormat="false" ht="15" hidden="false" customHeight="false" outlineLevel="0" collapsed="false">
      <c r="A519" s="16" t="n">
        <v>42347</v>
      </c>
      <c r="B519" s="16" t="s">
        <v>3138</v>
      </c>
      <c r="C519" s="16" t="s">
        <v>3139</v>
      </c>
      <c r="D519" s="16" t="s">
        <v>23</v>
      </c>
      <c r="E519" s="16" t="s">
        <v>94</v>
      </c>
      <c r="F519" s="16" t="s">
        <v>3140</v>
      </c>
      <c r="G519" s="16" t="s">
        <v>3141</v>
      </c>
      <c r="H519" s="16" t="s">
        <v>46</v>
      </c>
      <c r="I519" s="16" t="s">
        <v>29</v>
      </c>
      <c r="J519" s="16" t="s">
        <v>3142</v>
      </c>
      <c r="K519" s="16" t="n">
        <v>51.380313873291</v>
      </c>
      <c r="L519" s="16" t="n">
        <v>-0.183627352118492</v>
      </c>
      <c r="M519" s="16" t="s">
        <v>98</v>
      </c>
      <c r="N519" s="16" t="s">
        <v>3143</v>
      </c>
      <c r="O519" s="16" t="s">
        <v>3144</v>
      </c>
      <c r="P519" s="16" t="s">
        <v>3145</v>
      </c>
      <c r="Q519" s="16" t="s">
        <v>100</v>
      </c>
    </row>
    <row r="520" customFormat="false" ht="15" hidden="false" customHeight="false" outlineLevel="0" collapsed="false">
      <c r="A520" s="16" t="n">
        <v>42348</v>
      </c>
      <c r="B520" s="16" t="s">
        <v>3146</v>
      </c>
      <c r="C520" s="16" t="s">
        <v>3147</v>
      </c>
      <c r="D520" s="16" t="s">
        <v>23</v>
      </c>
      <c r="E520" s="16" t="s">
        <v>94</v>
      </c>
      <c r="F520" s="16" t="s">
        <v>3140</v>
      </c>
      <c r="G520" s="16" t="s">
        <v>2723</v>
      </c>
      <c r="H520" s="16" t="s">
        <v>46</v>
      </c>
      <c r="I520" s="16" t="s">
        <v>29</v>
      </c>
      <c r="J520" s="16" t="s">
        <v>3148</v>
      </c>
      <c r="K520" s="16" t="n">
        <v>51.3454551696777</v>
      </c>
      <c r="L520" s="16" t="n">
        <v>-0.191079825162888</v>
      </c>
      <c r="M520" s="16" t="s">
        <v>98</v>
      </c>
      <c r="N520" s="16" t="s">
        <v>3143</v>
      </c>
      <c r="O520" s="16" t="s">
        <v>3149</v>
      </c>
      <c r="P520" s="16" t="s">
        <v>3145</v>
      </c>
      <c r="Q520" s="16" t="s">
        <v>100</v>
      </c>
    </row>
    <row r="521" customFormat="false" ht="15" hidden="false" customHeight="false" outlineLevel="0" collapsed="false">
      <c r="A521" s="16" t="n">
        <v>42349</v>
      </c>
      <c r="B521" s="16" t="s">
        <v>3150</v>
      </c>
      <c r="C521" s="16" t="s">
        <v>3151</v>
      </c>
      <c r="D521" s="16" t="s">
        <v>23</v>
      </c>
      <c r="E521" s="16" t="s">
        <v>94</v>
      </c>
      <c r="F521" s="16" t="s">
        <v>3140</v>
      </c>
      <c r="G521" s="16" t="s">
        <v>3141</v>
      </c>
      <c r="H521" s="16" t="s">
        <v>46</v>
      </c>
      <c r="I521" s="16" t="s">
        <v>29</v>
      </c>
      <c r="J521" s="16" t="s">
        <v>3142</v>
      </c>
      <c r="K521" s="16" t="n">
        <v>51.380313873291</v>
      </c>
      <c r="L521" s="16" t="n">
        <v>-0.183627352118492</v>
      </c>
      <c r="M521" s="16" t="s">
        <v>98</v>
      </c>
      <c r="N521" s="16" t="s">
        <v>3143</v>
      </c>
      <c r="O521" s="16" t="s">
        <v>3149</v>
      </c>
      <c r="P521" s="16" t="s">
        <v>3145</v>
      </c>
      <c r="Q521" s="16" t="s">
        <v>100</v>
      </c>
    </row>
    <row r="522" customFormat="false" ht="15" hidden="false" customHeight="false" outlineLevel="0" collapsed="false">
      <c r="A522" s="16" t="n">
        <v>42351</v>
      </c>
      <c r="B522" s="16" t="s">
        <v>3152</v>
      </c>
      <c r="C522" s="16" t="s">
        <v>3153</v>
      </c>
      <c r="D522" s="16" t="s">
        <v>23</v>
      </c>
      <c r="E522" s="16" t="s">
        <v>94</v>
      </c>
      <c r="F522" s="16" t="s">
        <v>3140</v>
      </c>
      <c r="G522" s="16" t="s">
        <v>3154</v>
      </c>
      <c r="H522" s="16" t="s">
        <v>46</v>
      </c>
      <c r="I522" s="16" t="s">
        <v>29</v>
      </c>
      <c r="J522" s="16" t="s">
        <v>3155</v>
      </c>
      <c r="K522" s="16" t="n">
        <v>51.3255195617676</v>
      </c>
      <c r="L522" s="16" t="n">
        <v>-0.273216724395752</v>
      </c>
      <c r="M522" s="16" t="s">
        <v>98</v>
      </c>
      <c r="N522" s="16" t="s">
        <v>3156</v>
      </c>
      <c r="O522" s="16" t="s">
        <v>3144</v>
      </c>
      <c r="P522" s="16" t="s">
        <v>3145</v>
      </c>
      <c r="Q522" s="16" t="s">
        <v>100</v>
      </c>
    </row>
    <row r="523" customFormat="false" ht="15" hidden="false" customHeight="false" outlineLevel="0" collapsed="false">
      <c r="A523" s="16" t="n">
        <v>42362</v>
      </c>
      <c r="B523" s="16" t="s">
        <v>3157</v>
      </c>
      <c r="C523" s="16" t="s">
        <v>3158</v>
      </c>
      <c r="D523" s="16" t="s">
        <v>23</v>
      </c>
      <c r="E523" s="16" t="s">
        <v>94</v>
      </c>
      <c r="F523" s="16" t="s">
        <v>3159</v>
      </c>
      <c r="G523" s="16" t="s">
        <v>3009</v>
      </c>
      <c r="H523" s="16" t="s">
        <v>45</v>
      </c>
      <c r="I523" s="16" t="s">
        <v>29</v>
      </c>
      <c r="J523" s="16" t="s">
        <v>3160</v>
      </c>
      <c r="K523" s="16" t="n">
        <v>51.141487121582</v>
      </c>
      <c r="L523" s="16" t="n">
        <v>0.916223049163818</v>
      </c>
      <c r="M523" s="16" t="s">
        <v>98</v>
      </c>
      <c r="N523" s="16" t="s">
        <v>3161</v>
      </c>
      <c r="O523" s="16"/>
      <c r="P523" s="16" t="s">
        <v>3162</v>
      </c>
      <c r="Q523" s="16" t="s">
        <v>100</v>
      </c>
    </row>
    <row r="524" customFormat="false" ht="15" hidden="false" customHeight="false" outlineLevel="0" collapsed="false">
      <c r="A524" s="16" t="n">
        <v>42363</v>
      </c>
      <c r="B524" s="16" t="s">
        <v>3163</v>
      </c>
      <c r="C524" s="16" t="s">
        <v>3164</v>
      </c>
      <c r="D524" s="16" t="s">
        <v>23</v>
      </c>
      <c r="E524" s="16" t="s">
        <v>94</v>
      </c>
      <c r="F524" s="16" t="s">
        <v>3159</v>
      </c>
      <c r="G524" s="16" t="s">
        <v>3165</v>
      </c>
      <c r="H524" s="16" t="s">
        <v>45</v>
      </c>
      <c r="I524" s="16" t="s">
        <v>29</v>
      </c>
      <c r="J524" s="16" t="s">
        <v>3166</v>
      </c>
      <c r="K524" s="16" t="n">
        <v>51.1320533752441</v>
      </c>
      <c r="L524" s="16" t="n">
        <v>1.29239475727081</v>
      </c>
      <c r="M524" s="16" t="s">
        <v>98</v>
      </c>
      <c r="N524" s="16" t="s">
        <v>3167</v>
      </c>
      <c r="O524" s="16"/>
      <c r="P524" s="16" t="s">
        <v>3168</v>
      </c>
      <c r="Q524" s="16" t="s">
        <v>100</v>
      </c>
    </row>
    <row r="525" customFormat="false" ht="15" hidden="false" customHeight="false" outlineLevel="0" collapsed="false">
      <c r="A525" s="16" t="n">
        <v>42366</v>
      </c>
      <c r="B525" s="16" t="s">
        <v>3169</v>
      </c>
      <c r="C525" s="16" t="s">
        <v>3170</v>
      </c>
      <c r="D525" s="16" t="s">
        <v>23</v>
      </c>
      <c r="E525" s="16" t="s">
        <v>94</v>
      </c>
      <c r="F525" s="16" t="s">
        <v>3159</v>
      </c>
      <c r="G525" s="16" t="s">
        <v>3171</v>
      </c>
      <c r="H525" s="16" t="s">
        <v>45</v>
      </c>
      <c r="I525" s="16" t="s">
        <v>29</v>
      </c>
      <c r="J525" s="16" t="s">
        <v>3172</v>
      </c>
      <c r="K525" s="16" t="n">
        <v>51.3780517578125</v>
      </c>
      <c r="L525" s="16" t="n">
        <v>1.38939869403839</v>
      </c>
      <c r="M525" s="16" t="s">
        <v>98</v>
      </c>
      <c r="N525" s="16" t="s">
        <v>3173</v>
      </c>
      <c r="O525" s="16"/>
      <c r="P525" s="16" t="s">
        <v>3174</v>
      </c>
      <c r="Q525" s="16" t="s">
        <v>100</v>
      </c>
    </row>
    <row r="526" customFormat="false" ht="15" hidden="false" customHeight="false" outlineLevel="0" collapsed="false">
      <c r="A526" s="16" t="n">
        <v>42445</v>
      </c>
      <c r="B526" s="16" t="s">
        <v>3175</v>
      </c>
      <c r="C526" s="16" t="s">
        <v>3176</v>
      </c>
      <c r="D526" s="16" t="s">
        <v>23</v>
      </c>
      <c r="E526" s="16" t="s">
        <v>94</v>
      </c>
      <c r="F526" s="16" t="s">
        <v>3159</v>
      </c>
      <c r="G526" s="16" t="s">
        <v>606</v>
      </c>
      <c r="H526" s="16" t="s">
        <v>45</v>
      </c>
      <c r="I526" s="16" t="s">
        <v>29</v>
      </c>
      <c r="J526" s="16" t="s">
        <v>3177</v>
      </c>
      <c r="K526" s="16" t="n">
        <v>51.2665863037109</v>
      </c>
      <c r="L526" s="16" t="n">
        <v>1.08709752559662</v>
      </c>
      <c r="M526" s="16" t="s">
        <v>98</v>
      </c>
      <c r="N526" s="16" t="s">
        <v>3178</v>
      </c>
      <c r="O526" s="16"/>
      <c r="P526" s="16" t="s">
        <v>3179</v>
      </c>
      <c r="Q526" s="16" t="s">
        <v>100</v>
      </c>
    </row>
    <row r="527" customFormat="false" ht="15" hidden="false" customHeight="false" outlineLevel="0" collapsed="false">
      <c r="A527" s="16" t="n">
        <v>42476</v>
      </c>
      <c r="B527" s="16" t="s">
        <v>3180</v>
      </c>
      <c r="C527" s="16" t="s">
        <v>3181</v>
      </c>
      <c r="D527" s="16" t="s">
        <v>23</v>
      </c>
      <c r="E527" s="16" t="s">
        <v>94</v>
      </c>
      <c r="F527" s="16" t="s">
        <v>3182</v>
      </c>
      <c r="G527" s="16" t="s">
        <v>3183</v>
      </c>
      <c r="H527" s="16" t="s">
        <v>303</v>
      </c>
      <c r="I527" s="16" t="s">
        <v>37</v>
      </c>
      <c r="J527" s="16" t="s">
        <v>3184</v>
      </c>
      <c r="K527" s="16" t="n">
        <v>54.7024002075195</v>
      </c>
      <c r="L527" s="16" t="n">
        <v>-1.22782111167908</v>
      </c>
      <c r="M527" s="16" t="s">
        <v>98</v>
      </c>
      <c r="N527" s="16" t="s">
        <v>3185</v>
      </c>
      <c r="O527" s="16" t="s">
        <v>3186</v>
      </c>
      <c r="P527" s="16" t="s">
        <v>3187</v>
      </c>
      <c r="Q527" s="16" t="s">
        <v>100</v>
      </c>
    </row>
    <row r="528" customFormat="false" ht="15" hidden="false" customHeight="false" outlineLevel="0" collapsed="false">
      <c r="A528" s="16" t="n">
        <v>42477</v>
      </c>
      <c r="B528" s="16" t="s">
        <v>3188</v>
      </c>
      <c r="C528" s="16" t="s">
        <v>3189</v>
      </c>
      <c r="D528" s="16" t="s">
        <v>23</v>
      </c>
      <c r="E528" s="16" t="s">
        <v>94</v>
      </c>
      <c r="F528" s="16" t="s">
        <v>3182</v>
      </c>
      <c r="G528" s="16" t="s">
        <v>302</v>
      </c>
      <c r="H528" s="16" t="s">
        <v>303</v>
      </c>
      <c r="I528" s="16" t="s">
        <v>37</v>
      </c>
      <c r="J528" s="16" t="s">
        <v>3190</v>
      </c>
      <c r="K528" s="16" t="n">
        <v>54.5828590393066</v>
      </c>
      <c r="L528" s="16" t="n">
        <v>-1.34756541252136</v>
      </c>
      <c r="M528" s="16" t="s">
        <v>98</v>
      </c>
      <c r="N528" s="16" t="s">
        <v>3185</v>
      </c>
      <c r="O528" s="16" t="s">
        <v>3186</v>
      </c>
      <c r="P528" s="16" t="s">
        <v>3187</v>
      </c>
      <c r="Q528" s="16" t="s">
        <v>100</v>
      </c>
    </row>
    <row r="529" customFormat="false" ht="15" hidden="false" customHeight="false" outlineLevel="0" collapsed="false">
      <c r="A529" s="16" t="n">
        <v>42483</v>
      </c>
      <c r="B529" s="16" t="s">
        <v>3191</v>
      </c>
      <c r="C529" s="16" t="s">
        <v>3192</v>
      </c>
      <c r="D529" s="16" t="s">
        <v>23</v>
      </c>
      <c r="E529" s="16" t="s">
        <v>94</v>
      </c>
      <c r="F529" s="16" t="s">
        <v>3193</v>
      </c>
      <c r="G529" s="16" t="s">
        <v>3194</v>
      </c>
      <c r="H529" s="16" t="s">
        <v>52</v>
      </c>
      <c r="I529" s="16" t="s">
        <v>31</v>
      </c>
      <c r="J529" s="16" t="s">
        <v>3195</v>
      </c>
      <c r="K529" s="16" t="n">
        <v>53.6335601806641</v>
      </c>
      <c r="L529" s="16" t="n">
        <v>-2.9788076877594</v>
      </c>
      <c r="M529" s="16" t="s">
        <v>98</v>
      </c>
      <c r="N529" s="16" t="s">
        <v>3196</v>
      </c>
      <c r="O529" s="16" t="s">
        <v>3197</v>
      </c>
      <c r="P529" s="16" t="s">
        <v>3198</v>
      </c>
      <c r="Q529" s="16" t="s">
        <v>100</v>
      </c>
    </row>
    <row r="530" customFormat="false" ht="15" hidden="false" customHeight="false" outlineLevel="0" collapsed="false">
      <c r="A530" s="16" t="n">
        <v>42484</v>
      </c>
      <c r="B530" s="16" t="s">
        <v>3199</v>
      </c>
      <c r="C530" s="16" t="s">
        <v>3200</v>
      </c>
      <c r="D530" s="16" t="s">
        <v>23</v>
      </c>
      <c r="E530" s="16" t="s">
        <v>94</v>
      </c>
      <c r="F530" s="16" t="s">
        <v>3193</v>
      </c>
      <c r="G530" s="16" t="s">
        <v>1109</v>
      </c>
      <c r="H530" s="16" t="s">
        <v>47</v>
      </c>
      <c r="I530" s="16" t="s">
        <v>31</v>
      </c>
      <c r="J530" s="16" t="s">
        <v>3201</v>
      </c>
      <c r="K530" s="16" t="n">
        <v>53.5646209716797</v>
      </c>
      <c r="L530" s="16" t="n">
        <v>-2.87123727798462</v>
      </c>
      <c r="M530" s="16" t="s">
        <v>98</v>
      </c>
      <c r="N530" s="16" t="s">
        <v>3202</v>
      </c>
      <c r="O530" s="16" t="s">
        <v>3197</v>
      </c>
      <c r="P530" s="16" t="s">
        <v>3198</v>
      </c>
      <c r="Q530" s="16" t="s">
        <v>100</v>
      </c>
    </row>
    <row r="531" customFormat="false" ht="15" hidden="false" customHeight="false" outlineLevel="0" collapsed="false">
      <c r="A531" s="16" t="n">
        <v>42489</v>
      </c>
      <c r="B531" s="16" t="s">
        <v>3203</v>
      </c>
      <c r="C531" s="16" t="s">
        <v>3204</v>
      </c>
      <c r="D531" s="16" t="s">
        <v>23</v>
      </c>
      <c r="E531" s="16" t="s">
        <v>94</v>
      </c>
      <c r="F531" s="16" t="s">
        <v>71</v>
      </c>
      <c r="G531" s="16" t="s">
        <v>353</v>
      </c>
      <c r="H531" s="16" t="s">
        <v>51</v>
      </c>
      <c r="I531" s="16" t="s">
        <v>29</v>
      </c>
      <c r="J531" s="16" t="s">
        <v>3205</v>
      </c>
      <c r="K531" s="16" t="n">
        <v>50.9286499023438</v>
      </c>
      <c r="L531" s="16" t="n">
        <v>-1.32337296009064</v>
      </c>
      <c r="M531" s="16" t="s">
        <v>98</v>
      </c>
      <c r="N531" s="16" t="s">
        <v>3206</v>
      </c>
      <c r="O531" s="16"/>
      <c r="P531" s="16" t="s">
        <v>3207</v>
      </c>
      <c r="Q531" s="16" t="s">
        <v>100</v>
      </c>
    </row>
    <row r="532" customFormat="false" ht="15" hidden="false" customHeight="false" outlineLevel="0" collapsed="false">
      <c r="A532" s="16" t="n">
        <v>42508</v>
      </c>
      <c r="B532" s="16" t="s">
        <v>3208</v>
      </c>
      <c r="C532" s="16" t="s">
        <v>3209</v>
      </c>
      <c r="D532" s="16" t="s">
        <v>23</v>
      </c>
      <c r="E532" s="16" t="s">
        <v>94</v>
      </c>
      <c r="F532" s="16" t="s">
        <v>71</v>
      </c>
      <c r="G532" s="16" t="s">
        <v>3210</v>
      </c>
      <c r="H532" s="16" t="s">
        <v>51</v>
      </c>
      <c r="I532" s="16" t="s">
        <v>29</v>
      </c>
      <c r="J532" s="16" t="s">
        <v>3211</v>
      </c>
      <c r="K532" s="16" t="n">
        <v>50.8710098266602</v>
      </c>
      <c r="L532" s="16" t="n">
        <v>-1.27550852298737</v>
      </c>
      <c r="M532" s="16" t="s">
        <v>98</v>
      </c>
      <c r="N532" s="16" t="s">
        <v>3212</v>
      </c>
      <c r="O532" s="16"/>
      <c r="P532" s="16" t="s">
        <v>3213</v>
      </c>
      <c r="Q532" s="16" t="s">
        <v>100</v>
      </c>
    </row>
    <row r="533" customFormat="false" ht="15" hidden="false" customHeight="false" outlineLevel="0" collapsed="false">
      <c r="A533" s="16" t="n">
        <v>42619</v>
      </c>
      <c r="B533" s="16" t="s">
        <v>3214</v>
      </c>
      <c r="C533" s="16" t="s">
        <v>3215</v>
      </c>
      <c r="D533" s="16" t="s">
        <v>23</v>
      </c>
      <c r="E533" s="16" t="s">
        <v>94</v>
      </c>
      <c r="F533" s="16" t="s">
        <v>3216</v>
      </c>
      <c r="G533" s="16" t="s">
        <v>495</v>
      </c>
      <c r="H533" s="16" t="s">
        <v>52</v>
      </c>
      <c r="I533" s="16" t="s">
        <v>31</v>
      </c>
      <c r="J533" s="16" t="s">
        <v>3217</v>
      </c>
      <c r="K533" s="16" t="n">
        <v>53.5186729431152</v>
      </c>
      <c r="L533" s="16" t="n">
        <v>-2.91535997390747</v>
      </c>
      <c r="M533" s="16" t="s">
        <v>98</v>
      </c>
      <c r="N533" s="16" t="s">
        <v>3218</v>
      </c>
      <c r="O533" s="16"/>
      <c r="P533" s="16" t="s">
        <v>3219</v>
      </c>
      <c r="Q533" s="16" t="s">
        <v>100</v>
      </c>
    </row>
    <row r="534" customFormat="false" ht="15" hidden="false" customHeight="false" outlineLevel="0" collapsed="false">
      <c r="A534" s="16" t="n">
        <v>42628</v>
      </c>
      <c r="B534" s="16" t="s">
        <v>3220</v>
      </c>
      <c r="C534" s="16" t="s">
        <v>3221</v>
      </c>
      <c r="D534" s="16" t="s">
        <v>23</v>
      </c>
      <c r="E534" s="16" t="s">
        <v>94</v>
      </c>
      <c r="F534" s="16" t="s">
        <v>3222</v>
      </c>
      <c r="G534" s="16" t="s">
        <v>922</v>
      </c>
      <c r="H534" s="16" t="s">
        <v>47</v>
      </c>
      <c r="I534" s="16" t="s">
        <v>31</v>
      </c>
      <c r="J534" s="16" t="s">
        <v>3223</v>
      </c>
      <c r="K534" s="16" t="n">
        <v>53.7716484069824</v>
      </c>
      <c r="L534" s="16" t="n">
        <v>-2.65757942199707</v>
      </c>
      <c r="M534" s="16" t="s">
        <v>100</v>
      </c>
      <c r="N534" s="16" t="s">
        <v>3224</v>
      </c>
      <c r="O534" s="16"/>
      <c r="P534" s="16"/>
      <c r="Q534" s="16" t="s">
        <v>100</v>
      </c>
    </row>
    <row r="535" customFormat="false" ht="15" hidden="false" customHeight="false" outlineLevel="0" collapsed="false">
      <c r="A535" s="16" t="n">
        <v>42638</v>
      </c>
      <c r="B535" s="16" t="s">
        <v>3225</v>
      </c>
      <c r="C535" s="16" t="s">
        <v>3226</v>
      </c>
      <c r="D535" s="16" t="s">
        <v>23</v>
      </c>
      <c r="E535" s="16" t="s">
        <v>94</v>
      </c>
      <c r="F535" s="16" t="s">
        <v>3222</v>
      </c>
      <c r="G535" s="16" t="s">
        <v>3227</v>
      </c>
      <c r="H535" s="16" t="s">
        <v>47</v>
      </c>
      <c r="I535" s="16" t="s">
        <v>31</v>
      </c>
      <c r="J535" s="16" t="s">
        <v>3228</v>
      </c>
      <c r="K535" s="16" t="n">
        <v>54.0728721618652</v>
      </c>
      <c r="L535" s="16" t="n">
        <v>-2.85861825942993</v>
      </c>
      <c r="M535" s="16" t="s">
        <v>98</v>
      </c>
      <c r="N535" s="16" t="s">
        <v>3229</v>
      </c>
      <c r="O535" s="16"/>
      <c r="P535" s="16"/>
      <c r="Q535" s="16" t="s">
        <v>100</v>
      </c>
    </row>
    <row r="536" customFormat="false" ht="15" hidden="false" customHeight="false" outlineLevel="0" collapsed="false">
      <c r="A536" s="16" t="n">
        <v>42643</v>
      </c>
      <c r="B536" s="16" t="s">
        <v>3230</v>
      </c>
      <c r="C536" s="16" t="s">
        <v>3231</v>
      </c>
      <c r="D536" s="16" t="s">
        <v>23</v>
      </c>
      <c r="E536" s="16" t="s">
        <v>94</v>
      </c>
      <c r="F536" s="16" t="s">
        <v>3232</v>
      </c>
      <c r="G536" s="16" t="s">
        <v>3233</v>
      </c>
      <c r="H536" s="16" t="s">
        <v>47</v>
      </c>
      <c r="I536" s="16" t="s">
        <v>31</v>
      </c>
      <c r="J536" s="16" t="s">
        <v>3234</v>
      </c>
      <c r="K536" s="16" t="n">
        <v>53.6004257202149</v>
      </c>
      <c r="L536" s="16" t="n">
        <v>-2.25560784339905</v>
      </c>
      <c r="M536" s="16" t="s">
        <v>98</v>
      </c>
      <c r="N536" s="16" t="s">
        <v>3235</v>
      </c>
      <c r="O536" s="16"/>
      <c r="P536" s="16" t="s">
        <v>3236</v>
      </c>
      <c r="Q536" s="16" t="s">
        <v>100</v>
      </c>
    </row>
    <row r="537" customFormat="false" ht="15" hidden="false" customHeight="false" outlineLevel="0" collapsed="false">
      <c r="A537" s="16" t="n">
        <v>42644</v>
      </c>
      <c r="B537" s="16" t="s">
        <v>3237</v>
      </c>
      <c r="C537" s="16" t="s">
        <v>3238</v>
      </c>
      <c r="D537" s="16" t="s">
        <v>23</v>
      </c>
      <c r="E537" s="16" t="s">
        <v>94</v>
      </c>
      <c r="F537" s="16" t="s">
        <v>3232</v>
      </c>
      <c r="G537" s="16" t="s">
        <v>116</v>
      </c>
      <c r="H537" s="16" t="s">
        <v>117</v>
      </c>
      <c r="I537" s="16" t="s">
        <v>31</v>
      </c>
      <c r="J537" s="16" t="s">
        <v>3239</v>
      </c>
      <c r="K537" s="16" t="n">
        <v>53.5178871154785</v>
      </c>
      <c r="L537" s="16" t="n">
        <v>-2.22948694229126</v>
      </c>
      <c r="M537" s="16" t="s">
        <v>98</v>
      </c>
      <c r="N537" s="16" t="s">
        <v>3235</v>
      </c>
      <c r="O537" s="16"/>
      <c r="P537" s="16" t="s">
        <v>3236</v>
      </c>
      <c r="Q537" s="16" t="s">
        <v>100</v>
      </c>
    </row>
    <row r="538" customFormat="false" ht="15" hidden="false" customHeight="false" outlineLevel="0" collapsed="false">
      <c r="A538" s="16" t="n">
        <v>42645</v>
      </c>
      <c r="B538" s="16" t="s">
        <v>3240</v>
      </c>
      <c r="C538" s="16" t="s">
        <v>3241</v>
      </c>
      <c r="D538" s="16" t="s">
        <v>23</v>
      </c>
      <c r="E538" s="16" t="s">
        <v>94</v>
      </c>
      <c r="F538" s="16" t="s">
        <v>3232</v>
      </c>
      <c r="G538" s="16" t="s">
        <v>3242</v>
      </c>
      <c r="H538" s="16" t="s">
        <v>47</v>
      </c>
      <c r="I538" s="16" t="s">
        <v>31</v>
      </c>
      <c r="J538" s="16" t="s">
        <v>3243</v>
      </c>
      <c r="K538" s="16" t="n">
        <v>53.5532531738281</v>
      </c>
      <c r="L538" s="16" t="n">
        <v>-2.12181615829468</v>
      </c>
      <c r="M538" s="16" t="s">
        <v>98</v>
      </c>
      <c r="N538" s="16" t="s">
        <v>3235</v>
      </c>
      <c r="O538" s="16"/>
      <c r="P538" s="16" t="s">
        <v>3236</v>
      </c>
      <c r="Q538" s="16" t="s">
        <v>100</v>
      </c>
    </row>
    <row r="539" customFormat="false" ht="15" hidden="false" customHeight="false" outlineLevel="0" collapsed="false">
      <c r="A539" s="16" t="n">
        <v>42646</v>
      </c>
      <c r="B539" s="16" t="s">
        <v>3244</v>
      </c>
      <c r="C539" s="16" t="s">
        <v>3245</v>
      </c>
      <c r="D539" s="16" t="s">
        <v>23</v>
      </c>
      <c r="E539" s="16" t="s">
        <v>94</v>
      </c>
      <c r="F539" s="16" t="s">
        <v>3232</v>
      </c>
      <c r="G539" s="16" t="s">
        <v>659</v>
      </c>
      <c r="H539" s="16" t="s">
        <v>47</v>
      </c>
      <c r="I539" s="16" t="s">
        <v>31</v>
      </c>
      <c r="J539" s="16" t="s">
        <v>3246</v>
      </c>
      <c r="K539" s="16" t="n">
        <v>53.6242866516113</v>
      </c>
      <c r="L539" s="16" t="n">
        <v>-2.16013693809509</v>
      </c>
      <c r="M539" s="16" t="s">
        <v>98</v>
      </c>
      <c r="N539" s="16" t="s">
        <v>3235</v>
      </c>
      <c r="O539" s="16"/>
      <c r="P539" s="16" t="s">
        <v>3236</v>
      </c>
      <c r="Q539" s="16" t="s">
        <v>100</v>
      </c>
    </row>
    <row r="540" customFormat="false" ht="15" hidden="false" customHeight="false" outlineLevel="0" collapsed="false">
      <c r="A540" s="16" t="n">
        <v>42647</v>
      </c>
      <c r="B540" s="16" t="s">
        <v>3247</v>
      </c>
      <c r="C540" s="16" t="s">
        <v>3248</v>
      </c>
      <c r="D540" s="16" t="s">
        <v>23</v>
      </c>
      <c r="E540" s="16" t="s">
        <v>94</v>
      </c>
      <c r="F540" s="16" t="s">
        <v>3232</v>
      </c>
      <c r="G540" s="16" t="s">
        <v>659</v>
      </c>
      <c r="H540" s="16" t="s">
        <v>47</v>
      </c>
      <c r="I540" s="16" t="s">
        <v>31</v>
      </c>
      <c r="J540" s="16" t="s">
        <v>3249</v>
      </c>
      <c r="K540" s="16" t="n">
        <v>53.640266418457</v>
      </c>
      <c r="L540" s="16" t="n">
        <v>-2.12137150764465</v>
      </c>
      <c r="M540" s="16" t="s">
        <v>98</v>
      </c>
      <c r="N540" s="16" t="s">
        <v>3250</v>
      </c>
      <c r="O540" s="16"/>
      <c r="P540" s="16" t="s">
        <v>3236</v>
      </c>
      <c r="Q540" s="16" t="s">
        <v>100</v>
      </c>
    </row>
    <row r="541" customFormat="false" ht="15" hidden="false" customHeight="false" outlineLevel="0" collapsed="false">
      <c r="A541" s="16" t="n">
        <v>42660</v>
      </c>
      <c r="B541" s="16" t="s">
        <v>3251</v>
      </c>
      <c r="C541" s="16" t="s">
        <v>3252</v>
      </c>
      <c r="D541" s="16" t="s">
        <v>23</v>
      </c>
      <c r="E541" s="16" t="s">
        <v>94</v>
      </c>
      <c r="F541" s="16" t="s">
        <v>3253</v>
      </c>
      <c r="G541" s="16" t="s">
        <v>551</v>
      </c>
      <c r="H541" s="16" t="s">
        <v>552</v>
      </c>
      <c r="I541" s="16" t="s">
        <v>35</v>
      </c>
      <c r="J541" s="16" t="s">
        <v>3254</v>
      </c>
      <c r="K541" s="16" t="n">
        <v>53.7444343566895</v>
      </c>
      <c r="L541" s="16" t="n">
        <v>-0.358168989419937</v>
      </c>
      <c r="M541" s="16" t="s">
        <v>98</v>
      </c>
      <c r="N541" s="16" t="s">
        <v>3255</v>
      </c>
      <c r="O541" s="16"/>
      <c r="P541" s="16" t="s">
        <v>3256</v>
      </c>
      <c r="Q541" s="16" t="s">
        <v>100</v>
      </c>
    </row>
    <row r="542" customFormat="false" ht="15" hidden="false" customHeight="false" outlineLevel="0" collapsed="false">
      <c r="A542" s="16" t="n">
        <v>42661</v>
      </c>
      <c r="B542" s="16" t="s">
        <v>3257</v>
      </c>
      <c r="C542" s="16" t="s">
        <v>3258</v>
      </c>
      <c r="D542" s="16" t="s">
        <v>23</v>
      </c>
      <c r="E542" s="16" t="s">
        <v>94</v>
      </c>
      <c r="F542" s="16" t="s">
        <v>3253</v>
      </c>
      <c r="G542" s="16" t="s">
        <v>3259</v>
      </c>
      <c r="H542" s="16" t="s">
        <v>552</v>
      </c>
      <c r="I542" s="16" t="s">
        <v>35</v>
      </c>
      <c r="J542" s="16" t="s">
        <v>3260</v>
      </c>
      <c r="K542" s="16" t="n">
        <v>53.7767333984375</v>
      </c>
      <c r="L542" s="16" t="n">
        <v>-0.444969475269318</v>
      </c>
      <c r="M542" s="16" t="s">
        <v>98</v>
      </c>
      <c r="N542" s="16" t="s">
        <v>3255</v>
      </c>
      <c r="O542" s="16"/>
      <c r="P542" s="16" t="s">
        <v>3256</v>
      </c>
      <c r="Q542" s="16" t="s">
        <v>100</v>
      </c>
    </row>
    <row r="543" customFormat="false" ht="15" hidden="false" customHeight="false" outlineLevel="0" collapsed="false">
      <c r="A543" s="16" t="n">
        <v>42670</v>
      </c>
      <c r="B543" s="16" t="s">
        <v>3261</v>
      </c>
      <c r="C543" s="16" t="s">
        <v>3262</v>
      </c>
      <c r="D543" s="16" t="s">
        <v>23</v>
      </c>
      <c r="E543" s="16" t="s">
        <v>94</v>
      </c>
      <c r="F543" s="16" t="s">
        <v>3263</v>
      </c>
      <c r="G543" s="16" t="s">
        <v>813</v>
      </c>
      <c r="H543" s="16" t="s">
        <v>814</v>
      </c>
      <c r="I543" s="16" t="s">
        <v>36</v>
      </c>
      <c r="J543" s="16" t="s">
        <v>2671</v>
      </c>
      <c r="K543" s="16" t="n">
        <v>53.2335777282715</v>
      </c>
      <c r="L543" s="16" t="n">
        <v>-0.519620180130005</v>
      </c>
      <c r="M543" s="16" t="s">
        <v>98</v>
      </c>
      <c r="N543" s="16" t="s">
        <v>3264</v>
      </c>
      <c r="O543" s="16"/>
      <c r="P543" s="16" t="s">
        <v>3265</v>
      </c>
      <c r="Q543" s="16" t="s">
        <v>100</v>
      </c>
    </row>
    <row r="544" customFormat="false" ht="15" hidden="false" customHeight="false" outlineLevel="0" collapsed="false">
      <c r="A544" s="16" t="n">
        <v>42671</v>
      </c>
      <c r="B544" s="16" t="s">
        <v>3266</v>
      </c>
      <c r="C544" s="16" t="s">
        <v>3267</v>
      </c>
      <c r="D544" s="16" t="s">
        <v>23</v>
      </c>
      <c r="E544" s="16" t="s">
        <v>94</v>
      </c>
      <c r="F544" s="16" t="s">
        <v>3263</v>
      </c>
      <c r="G544" s="16" t="s">
        <v>1163</v>
      </c>
      <c r="H544" s="16" t="s">
        <v>814</v>
      </c>
      <c r="I544" s="16" t="s">
        <v>36</v>
      </c>
      <c r="J544" s="16" t="s">
        <v>3268</v>
      </c>
      <c r="K544" s="16" t="n">
        <v>52.9911270141602</v>
      </c>
      <c r="L544" s="16" t="n">
        <v>-0.0099528534337878</v>
      </c>
      <c r="M544" s="16" t="s">
        <v>98</v>
      </c>
      <c r="N544" s="16" t="s">
        <v>3269</v>
      </c>
      <c r="O544" s="16"/>
      <c r="P544" s="16" t="s">
        <v>3265</v>
      </c>
      <c r="Q544" s="16" t="s">
        <v>100</v>
      </c>
    </row>
    <row r="545" customFormat="false" ht="15" hidden="false" customHeight="false" outlineLevel="0" collapsed="false">
      <c r="A545" s="16" t="n">
        <v>42679</v>
      </c>
      <c r="B545" s="16" t="s">
        <v>3270</v>
      </c>
      <c r="C545" s="16" t="s">
        <v>1943</v>
      </c>
      <c r="D545" s="16" t="s">
        <v>23</v>
      </c>
      <c r="E545" s="16" t="s">
        <v>94</v>
      </c>
      <c r="F545" s="16" t="s">
        <v>3271</v>
      </c>
      <c r="G545" s="16" t="s">
        <v>3272</v>
      </c>
      <c r="H545" s="16" t="s">
        <v>273</v>
      </c>
      <c r="I545" s="16" t="s">
        <v>36</v>
      </c>
      <c r="J545" s="16" t="s">
        <v>3273</v>
      </c>
      <c r="K545" s="16" t="n">
        <v>52.7659378051758</v>
      </c>
      <c r="L545" s="16" t="n">
        <v>-0.877281188964844</v>
      </c>
      <c r="M545" s="16" t="s">
        <v>98</v>
      </c>
      <c r="N545" s="16" t="s">
        <v>3274</v>
      </c>
      <c r="O545" s="16"/>
      <c r="P545" s="16" t="s">
        <v>3275</v>
      </c>
      <c r="Q545" s="16" t="s">
        <v>100</v>
      </c>
    </row>
    <row r="546" customFormat="false" ht="15" hidden="false" customHeight="false" outlineLevel="0" collapsed="false">
      <c r="A546" s="16" t="n">
        <v>42680</v>
      </c>
      <c r="B546" s="16" t="s">
        <v>3276</v>
      </c>
      <c r="C546" s="16" t="s">
        <v>3277</v>
      </c>
      <c r="D546" s="16" t="s">
        <v>23</v>
      </c>
      <c r="E546" s="16" t="s">
        <v>94</v>
      </c>
      <c r="F546" s="16" t="s">
        <v>3271</v>
      </c>
      <c r="G546" s="16" t="s">
        <v>272</v>
      </c>
      <c r="H546" s="16" t="s">
        <v>273</v>
      </c>
      <c r="I546" s="16" t="s">
        <v>36</v>
      </c>
      <c r="J546" s="16" t="s">
        <v>3278</v>
      </c>
      <c r="K546" s="16" t="n">
        <v>52.6267852783203</v>
      </c>
      <c r="L546" s="16" t="n">
        <v>-1.13594615459442</v>
      </c>
      <c r="M546" s="16" t="s">
        <v>98</v>
      </c>
      <c r="N546" s="16" t="s">
        <v>3279</v>
      </c>
      <c r="O546" s="16"/>
      <c r="P546" s="16" t="s">
        <v>3280</v>
      </c>
      <c r="Q546" s="16" t="s">
        <v>100</v>
      </c>
    </row>
    <row r="547" customFormat="false" ht="15" hidden="false" customHeight="false" outlineLevel="0" collapsed="false">
      <c r="A547" s="16" t="n">
        <v>42681</v>
      </c>
      <c r="B547" s="16" t="s">
        <v>3281</v>
      </c>
      <c r="C547" s="16" t="s">
        <v>3282</v>
      </c>
      <c r="D547" s="16" t="s">
        <v>23</v>
      </c>
      <c r="E547" s="16" t="s">
        <v>94</v>
      </c>
      <c r="F547" s="16" t="s">
        <v>3271</v>
      </c>
      <c r="G547" s="16" t="s">
        <v>272</v>
      </c>
      <c r="H547" s="16" t="s">
        <v>273</v>
      </c>
      <c r="I547" s="16" t="s">
        <v>36</v>
      </c>
      <c r="J547" s="16" t="s">
        <v>3283</v>
      </c>
      <c r="K547" s="16" t="n">
        <v>52.6543655395508</v>
      </c>
      <c r="L547" s="16" t="n">
        <v>-1.18000304698944</v>
      </c>
      <c r="M547" s="16" t="s">
        <v>98</v>
      </c>
      <c r="N547" s="16" t="s">
        <v>3279</v>
      </c>
      <c r="O547" s="16" t="s">
        <v>3284</v>
      </c>
      <c r="P547" s="16" t="s">
        <v>3280</v>
      </c>
      <c r="Q547" s="16" t="s">
        <v>100</v>
      </c>
    </row>
    <row r="548" customFormat="false" ht="15" hidden="false" customHeight="false" outlineLevel="0" collapsed="false">
      <c r="A548" s="16" t="n">
        <v>42682</v>
      </c>
      <c r="B548" s="16" t="s">
        <v>3285</v>
      </c>
      <c r="C548" s="16" t="s">
        <v>3286</v>
      </c>
      <c r="D548" s="16" t="s">
        <v>23</v>
      </c>
      <c r="E548" s="16" t="s">
        <v>94</v>
      </c>
      <c r="F548" s="16" t="s">
        <v>3271</v>
      </c>
      <c r="G548" s="16" t="s">
        <v>272</v>
      </c>
      <c r="H548" s="16" t="s">
        <v>273</v>
      </c>
      <c r="I548" s="16" t="s">
        <v>36</v>
      </c>
      <c r="J548" s="16" t="s">
        <v>3287</v>
      </c>
      <c r="K548" s="16" t="n">
        <v>52.6299285888672</v>
      </c>
      <c r="L548" s="16" t="n">
        <v>-1.08174920082092</v>
      </c>
      <c r="M548" s="16" t="s">
        <v>98</v>
      </c>
      <c r="N548" s="16" t="s">
        <v>3279</v>
      </c>
      <c r="O548" s="16" t="s">
        <v>3284</v>
      </c>
      <c r="P548" s="16" t="s">
        <v>3280</v>
      </c>
      <c r="Q548" s="16" t="s">
        <v>100</v>
      </c>
    </row>
    <row r="549" customFormat="false" ht="15" hidden="false" customHeight="false" outlineLevel="0" collapsed="false">
      <c r="A549" s="16" t="n">
        <v>42686</v>
      </c>
      <c r="B549" s="16" t="s">
        <v>3288</v>
      </c>
      <c r="C549" s="16" t="s">
        <v>3289</v>
      </c>
      <c r="D549" s="16" t="s">
        <v>23</v>
      </c>
      <c r="E549" s="16" t="s">
        <v>94</v>
      </c>
      <c r="F549" s="16" t="s">
        <v>3290</v>
      </c>
      <c r="G549" s="16" t="s">
        <v>3291</v>
      </c>
      <c r="H549" s="16" t="s">
        <v>45</v>
      </c>
      <c r="I549" s="16" t="s">
        <v>29</v>
      </c>
      <c r="J549" s="16" t="s">
        <v>3292</v>
      </c>
      <c r="K549" s="16" t="n">
        <v>51.2736625671387</v>
      </c>
      <c r="L549" s="16" t="n">
        <v>0.483988225460053</v>
      </c>
      <c r="M549" s="16" t="s">
        <v>98</v>
      </c>
      <c r="N549" s="16" t="s">
        <v>3293</v>
      </c>
      <c r="O549" s="16" t="s">
        <v>3294</v>
      </c>
      <c r="P549" s="16" t="s">
        <v>3295</v>
      </c>
      <c r="Q549" s="16" t="s">
        <v>100</v>
      </c>
    </row>
    <row r="550" customFormat="false" ht="15" hidden="false" customHeight="false" outlineLevel="0" collapsed="false">
      <c r="A550" s="16" t="n">
        <v>42705</v>
      </c>
      <c r="B550" s="16" t="s">
        <v>3296</v>
      </c>
      <c r="C550" s="16" t="s">
        <v>3297</v>
      </c>
      <c r="D550" s="16" t="s">
        <v>23</v>
      </c>
      <c r="E550" s="16" t="s">
        <v>94</v>
      </c>
      <c r="F550" s="16" t="s">
        <v>3290</v>
      </c>
      <c r="G550" s="16" t="s">
        <v>2560</v>
      </c>
      <c r="H550" s="16" t="s">
        <v>45</v>
      </c>
      <c r="I550" s="16" t="s">
        <v>29</v>
      </c>
      <c r="J550" s="16" t="s">
        <v>3298</v>
      </c>
      <c r="K550" s="16" t="n">
        <v>51.4447860717773</v>
      </c>
      <c r="L550" s="16" t="n">
        <v>0.245343297719955</v>
      </c>
      <c r="M550" s="16" t="s">
        <v>100</v>
      </c>
      <c r="N550" s="16" t="s">
        <v>3299</v>
      </c>
      <c r="O550" s="16"/>
      <c r="P550" s="16"/>
      <c r="Q550" s="16" t="s">
        <v>100</v>
      </c>
    </row>
    <row r="551" customFormat="false" ht="15" hidden="false" customHeight="false" outlineLevel="0" collapsed="false">
      <c r="A551" s="16" t="n">
        <v>42710</v>
      </c>
      <c r="B551" s="16" t="s">
        <v>3300</v>
      </c>
      <c r="C551" s="16" t="s">
        <v>3301</v>
      </c>
      <c r="D551" s="16" t="s">
        <v>23</v>
      </c>
      <c r="E551" s="16" t="s">
        <v>94</v>
      </c>
      <c r="F551" s="16" t="s">
        <v>3290</v>
      </c>
      <c r="G551" s="16" t="s">
        <v>315</v>
      </c>
      <c r="H551" s="16" t="s">
        <v>45</v>
      </c>
      <c r="I551" s="16" t="s">
        <v>29</v>
      </c>
      <c r="J551" s="16" t="s">
        <v>3302</v>
      </c>
      <c r="K551" s="16" t="n">
        <v>51.1484527587891</v>
      </c>
      <c r="L551" s="16" t="n">
        <v>0.307484596967697</v>
      </c>
      <c r="M551" s="16" t="s">
        <v>98</v>
      </c>
      <c r="N551" s="16" t="s">
        <v>3303</v>
      </c>
      <c r="O551" s="16" t="s">
        <v>3294</v>
      </c>
      <c r="P551" s="16" t="s">
        <v>3295</v>
      </c>
      <c r="Q551" s="16" t="s">
        <v>100</v>
      </c>
    </row>
    <row r="552" customFormat="false" ht="15" hidden="false" customHeight="false" outlineLevel="0" collapsed="false">
      <c r="A552" s="16" t="n">
        <v>42713</v>
      </c>
      <c r="B552" s="16" t="s">
        <v>3304</v>
      </c>
      <c r="C552" s="16" t="s">
        <v>3305</v>
      </c>
      <c r="D552" s="16" t="s">
        <v>23</v>
      </c>
      <c r="E552" s="16" t="s">
        <v>94</v>
      </c>
      <c r="F552" s="16" t="s">
        <v>3306</v>
      </c>
      <c r="G552" s="16" t="s">
        <v>3307</v>
      </c>
      <c r="H552" s="16" t="s">
        <v>57</v>
      </c>
      <c r="I552" s="16" t="s">
        <v>32</v>
      </c>
      <c r="J552" s="16" t="s">
        <v>3308</v>
      </c>
      <c r="K552" s="16" t="n">
        <v>51.6485900878906</v>
      </c>
      <c r="L552" s="16" t="n">
        <v>-0.405277937650681</v>
      </c>
      <c r="M552" s="16" t="s">
        <v>98</v>
      </c>
      <c r="N552" s="16" t="s">
        <v>3309</v>
      </c>
      <c r="O552" s="16" t="s">
        <v>3310</v>
      </c>
      <c r="P552" s="16" t="s">
        <v>3311</v>
      </c>
      <c r="Q552" s="16" t="s">
        <v>100</v>
      </c>
    </row>
    <row r="553" customFormat="false" ht="15" hidden="false" customHeight="false" outlineLevel="0" collapsed="false">
      <c r="A553" s="16" t="n">
        <v>42714</v>
      </c>
      <c r="B553" s="16" t="s">
        <v>3312</v>
      </c>
      <c r="C553" s="16" t="s">
        <v>3313</v>
      </c>
      <c r="D553" s="16" t="s">
        <v>23</v>
      </c>
      <c r="E553" s="16" t="s">
        <v>94</v>
      </c>
      <c r="F553" s="16" t="s">
        <v>3306</v>
      </c>
      <c r="G553" s="16" t="s">
        <v>3314</v>
      </c>
      <c r="H553" s="16" t="s">
        <v>57</v>
      </c>
      <c r="I553" s="16" t="s">
        <v>32</v>
      </c>
      <c r="J553" s="16" t="s">
        <v>3315</v>
      </c>
      <c r="K553" s="16" t="n">
        <v>51.7600746154785</v>
      </c>
      <c r="L553" s="16" t="n">
        <v>-0.343948692083359</v>
      </c>
      <c r="M553" s="16" t="s">
        <v>98</v>
      </c>
      <c r="N553" s="16" t="s">
        <v>3316</v>
      </c>
      <c r="O553" s="16" t="s">
        <v>3310</v>
      </c>
      <c r="P553" s="16" t="s">
        <v>3311</v>
      </c>
      <c r="Q553" s="16" t="s">
        <v>100</v>
      </c>
    </row>
    <row r="554" customFormat="false" ht="15" hidden="false" customHeight="false" outlineLevel="0" collapsed="false">
      <c r="A554" s="16" t="n">
        <v>42716</v>
      </c>
      <c r="B554" s="16" t="s">
        <v>3317</v>
      </c>
      <c r="C554" s="16" t="s">
        <v>3318</v>
      </c>
      <c r="D554" s="16" t="s">
        <v>23</v>
      </c>
      <c r="E554" s="16" t="s">
        <v>94</v>
      </c>
      <c r="F554" s="16" t="s">
        <v>3306</v>
      </c>
      <c r="G554" s="16" t="s">
        <v>857</v>
      </c>
      <c r="H554" s="16" t="s">
        <v>57</v>
      </c>
      <c r="I554" s="16" t="s">
        <v>32</v>
      </c>
      <c r="J554" s="16" t="s">
        <v>3319</v>
      </c>
      <c r="K554" s="16" t="n">
        <v>51.7508392333984</v>
      </c>
      <c r="L554" s="16" t="n">
        <v>-0.468585968017578</v>
      </c>
      <c r="M554" s="16" t="s">
        <v>98</v>
      </c>
      <c r="N554" s="16" t="s">
        <v>3320</v>
      </c>
      <c r="O554" s="16" t="s">
        <v>3310</v>
      </c>
      <c r="P554" s="16" t="s">
        <v>3311</v>
      </c>
      <c r="Q554" s="16" t="s">
        <v>100</v>
      </c>
    </row>
    <row r="555" customFormat="false" ht="15" hidden="false" customHeight="false" outlineLevel="0" collapsed="false">
      <c r="A555" s="16" t="n">
        <v>42718</v>
      </c>
      <c r="B555" s="16" t="s">
        <v>3321</v>
      </c>
      <c r="C555" s="16" t="s">
        <v>3322</v>
      </c>
      <c r="D555" s="16" t="s">
        <v>23</v>
      </c>
      <c r="E555" s="16" t="s">
        <v>94</v>
      </c>
      <c r="F555" s="16" t="s">
        <v>3323</v>
      </c>
      <c r="G555" s="16" t="s">
        <v>3324</v>
      </c>
      <c r="H555" s="16" t="s">
        <v>57</v>
      </c>
      <c r="I555" s="16" t="s">
        <v>32</v>
      </c>
      <c r="J555" s="16" t="s">
        <v>3325</v>
      </c>
      <c r="K555" s="16" t="n">
        <v>51.9246101379395</v>
      </c>
      <c r="L555" s="16" t="n">
        <v>-0.212711542844772</v>
      </c>
      <c r="M555" s="16" t="s">
        <v>98</v>
      </c>
      <c r="N555" s="16" t="s">
        <v>3326</v>
      </c>
      <c r="O555" s="16"/>
      <c r="P555" s="16" t="s">
        <v>3327</v>
      </c>
      <c r="Q555" s="16" t="s">
        <v>100</v>
      </c>
    </row>
    <row r="556" customFormat="false" ht="15" hidden="false" customHeight="false" outlineLevel="0" collapsed="false">
      <c r="A556" s="16" t="n">
        <v>42720</v>
      </c>
      <c r="B556" s="16" t="s">
        <v>3328</v>
      </c>
      <c r="C556" s="16" t="s">
        <v>3329</v>
      </c>
      <c r="D556" s="16" t="s">
        <v>23</v>
      </c>
      <c r="E556" s="16" t="s">
        <v>94</v>
      </c>
      <c r="F556" s="16" t="s">
        <v>3323</v>
      </c>
      <c r="G556" s="16" t="s">
        <v>3330</v>
      </c>
      <c r="H556" s="16" t="s">
        <v>57</v>
      </c>
      <c r="I556" s="16" t="s">
        <v>32</v>
      </c>
      <c r="J556" s="16" t="s">
        <v>3331</v>
      </c>
      <c r="K556" s="16" t="n">
        <v>51.782829284668</v>
      </c>
      <c r="L556" s="16" t="n">
        <v>-0.187686711549759</v>
      </c>
      <c r="M556" s="16" t="s">
        <v>98</v>
      </c>
      <c r="N556" s="16" t="s">
        <v>3326</v>
      </c>
      <c r="O556" s="16"/>
      <c r="P556" s="16" t="s">
        <v>3332</v>
      </c>
      <c r="Q556" s="16" t="s">
        <v>100</v>
      </c>
    </row>
    <row r="557" customFormat="false" ht="15" hidden="false" customHeight="false" outlineLevel="0" collapsed="false">
      <c r="A557" s="16" t="n">
        <v>42721</v>
      </c>
      <c r="B557" s="16" t="s">
        <v>3333</v>
      </c>
      <c r="C557" s="16" t="s">
        <v>3334</v>
      </c>
      <c r="D557" s="16" t="s">
        <v>23</v>
      </c>
      <c r="E557" s="16" t="s">
        <v>94</v>
      </c>
      <c r="F557" s="16" t="s">
        <v>3323</v>
      </c>
      <c r="G557" s="16" t="s">
        <v>3335</v>
      </c>
      <c r="H557" s="16" t="s">
        <v>57</v>
      </c>
      <c r="I557" s="16" t="s">
        <v>32</v>
      </c>
      <c r="J557" s="16" t="s">
        <v>3336</v>
      </c>
      <c r="K557" s="16" t="n">
        <v>51.7964897155762</v>
      </c>
      <c r="L557" s="16" t="n">
        <v>-0.0884948223829269</v>
      </c>
      <c r="M557" s="16" t="s">
        <v>98</v>
      </c>
      <c r="N557" s="16" t="s">
        <v>3326</v>
      </c>
      <c r="O557" s="16"/>
      <c r="P557" s="16" t="s">
        <v>3337</v>
      </c>
      <c r="Q557" s="16" t="s">
        <v>100</v>
      </c>
    </row>
    <row r="558" customFormat="false" ht="15" hidden="false" customHeight="false" outlineLevel="0" collapsed="false">
      <c r="A558" s="16" t="n">
        <v>42725</v>
      </c>
      <c r="B558" s="16" t="s">
        <v>3338</v>
      </c>
      <c r="C558" s="16" t="s">
        <v>3339</v>
      </c>
      <c r="D558" s="16" t="s">
        <v>23</v>
      </c>
      <c r="E558" s="16" t="s">
        <v>94</v>
      </c>
      <c r="F558" s="16" t="s">
        <v>3340</v>
      </c>
      <c r="G558" s="16" t="s">
        <v>3341</v>
      </c>
      <c r="H558" s="16" t="s">
        <v>55</v>
      </c>
      <c r="I558" s="16" t="s">
        <v>31</v>
      </c>
      <c r="J558" s="16" t="s">
        <v>3342</v>
      </c>
      <c r="K558" s="16" t="n">
        <v>53.3837814331055</v>
      </c>
      <c r="L558" s="16" t="n">
        <v>-2.13200497627258</v>
      </c>
      <c r="M558" s="16" t="s">
        <v>98</v>
      </c>
      <c r="N558" s="16" t="s">
        <v>3343</v>
      </c>
      <c r="O558" s="16" t="s">
        <v>3344</v>
      </c>
      <c r="P558" s="16" t="s">
        <v>3345</v>
      </c>
      <c r="Q558" s="16" t="s">
        <v>100</v>
      </c>
    </row>
    <row r="559" customFormat="false" ht="15" hidden="false" customHeight="false" outlineLevel="0" collapsed="false">
      <c r="A559" s="16" t="n">
        <v>42735</v>
      </c>
      <c r="B559" s="16" t="s">
        <v>3346</v>
      </c>
      <c r="C559" s="16" t="s">
        <v>3347</v>
      </c>
      <c r="D559" s="16" t="s">
        <v>23</v>
      </c>
      <c r="E559" s="16" t="s">
        <v>94</v>
      </c>
      <c r="F559" s="16" t="s">
        <v>3348</v>
      </c>
      <c r="G559" s="16" t="s">
        <v>33</v>
      </c>
      <c r="H559" s="16" t="s">
        <v>44</v>
      </c>
      <c r="I559" s="16" t="s">
        <v>33</v>
      </c>
      <c r="J559" s="16" t="s">
        <v>1290</v>
      </c>
      <c r="K559" s="16" t="n">
        <v>51.5250473022461</v>
      </c>
      <c r="L559" s="16" t="n">
        <v>-0.0421919599175453</v>
      </c>
      <c r="M559" s="16" t="s">
        <v>98</v>
      </c>
      <c r="N559" s="16" t="s">
        <v>3349</v>
      </c>
      <c r="O559" s="16"/>
      <c r="P559" s="16" t="s">
        <v>3350</v>
      </c>
      <c r="Q559" s="16" t="s">
        <v>100</v>
      </c>
    </row>
    <row r="560" customFormat="false" ht="15" hidden="false" customHeight="false" outlineLevel="0" collapsed="false">
      <c r="A560" s="16" t="n">
        <v>42750</v>
      </c>
      <c r="B560" s="16" t="s">
        <v>3351</v>
      </c>
      <c r="C560" s="16" t="s">
        <v>3352</v>
      </c>
      <c r="D560" s="16" t="s">
        <v>23</v>
      </c>
      <c r="E560" s="16" t="s">
        <v>94</v>
      </c>
      <c r="F560" s="16" t="s">
        <v>3353</v>
      </c>
      <c r="G560" s="16" t="s">
        <v>3354</v>
      </c>
      <c r="H560" s="16" t="s">
        <v>340</v>
      </c>
      <c r="I560" s="16" t="s">
        <v>34</v>
      </c>
      <c r="J560" s="16" t="s">
        <v>3355</v>
      </c>
      <c r="K560" s="16" t="n">
        <v>52.2797775268555</v>
      </c>
      <c r="L560" s="16" t="n">
        <v>-1.91211211681366</v>
      </c>
      <c r="M560" s="16" t="s">
        <v>98</v>
      </c>
      <c r="N560" s="16" t="s">
        <v>3356</v>
      </c>
      <c r="O560" s="16" t="s">
        <v>3357</v>
      </c>
      <c r="P560" s="16" t="s">
        <v>3358</v>
      </c>
      <c r="Q560" s="16" t="s">
        <v>100</v>
      </c>
    </row>
    <row r="561" customFormat="false" ht="15" hidden="false" customHeight="false" outlineLevel="0" collapsed="false">
      <c r="A561" s="16" t="n">
        <v>42754</v>
      </c>
      <c r="B561" s="16" t="s">
        <v>3359</v>
      </c>
      <c r="C561" s="16" t="s">
        <v>3360</v>
      </c>
      <c r="D561" s="16" t="s">
        <v>23</v>
      </c>
      <c r="E561" s="16" t="s">
        <v>94</v>
      </c>
      <c r="F561" s="16" t="s">
        <v>3353</v>
      </c>
      <c r="G561" s="16" t="s">
        <v>3361</v>
      </c>
      <c r="H561" s="16" t="s">
        <v>340</v>
      </c>
      <c r="I561" s="16" t="s">
        <v>34</v>
      </c>
      <c r="J561" s="16" t="s">
        <v>3362</v>
      </c>
      <c r="K561" s="16" t="n">
        <v>52.3860473632813</v>
      </c>
      <c r="L561" s="16" t="n">
        <v>-2.261150598526</v>
      </c>
      <c r="M561" s="16" t="s">
        <v>98</v>
      </c>
      <c r="N561" s="16" t="s">
        <v>3363</v>
      </c>
      <c r="O561" s="16" t="s">
        <v>3357</v>
      </c>
      <c r="P561" s="16" t="s">
        <v>3364</v>
      </c>
      <c r="Q561" s="16" t="s">
        <v>100</v>
      </c>
    </row>
    <row r="562" customFormat="false" ht="15" hidden="false" customHeight="false" outlineLevel="0" collapsed="false">
      <c r="A562" s="16" t="n">
        <v>42755</v>
      </c>
      <c r="B562" s="16" t="s">
        <v>3365</v>
      </c>
      <c r="C562" s="16" t="s">
        <v>3366</v>
      </c>
      <c r="D562" s="16" t="s">
        <v>23</v>
      </c>
      <c r="E562" s="16" t="s">
        <v>94</v>
      </c>
      <c r="F562" s="16" t="s">
        <v>3353</v>
      </c>
      <c r="G562" s="16" t="s">
        <v>339</v>
      </c>
      <c r="H562" s="16" t="s">
        <v>340</v>
      </c>
      <c r="I562" s="16" t="s">
        <v>34</v>
      </c>
      <c r="J562" s="16" t="s">
        <v>3367</v>
      </c>
      <c r="K562" s="16" t="n">
        <v>52.1915168762207</v>
      </c>
      <c r="L562" s="16" t="n">
        <v>-2.17934107780457</v>
      </c>
      <c r="M562" s="16" t="s">
        <v>98</v>
      </c>
      <c r="N562" s="16" t="s">
        <v>3368</v>
      </c>
      <c r="O562" s="16" t="s">
        <v>3357</v>
      </c>
      <c r="P562" s="16" t="s">
        <v>3369</v>
      </c>
      <c r="Q562" s="16" t="s">
        <v>100</v>
      </c>
    </row>
    <row r="563" customFormat="false" ht="15" hidden="false" customHeight="false" outlineLevel="0" collapsed="false">
      <c r="A563" s="16" t="n">
        <v>42827</v>
      </c>
      <c r="B563" s="16" t="s">
        <v>3370</v>
      </c>
      <c r="C563" s="16" t="s">
        <v>3371</v>
      </c>
      <c r="D563" s="16" t="s">
        <v>23</v>
      </c>
      <c r="E563" s="16" t="s">
        <v>94</v>
      </c>
      <c r="F563" s="16" t="s">
        <v>3372</v>
      </c>
      <c r="G563" s="16" t="s">
        <v>230</v>
      </c>
      <c r="H563" s="16" t="s">
        <v>48</v>
      </c>
      <c r="I563" s="16" t="s">
        <v>30</v>
      </c>
      <c r="J563" s="16" t="s">
        <v>3373</v>
      </c>
      <c r="K563" s="16" t="n">
        <v>50.7154006958008</v>
      </c>
      <c r="L563" s="16" t="n">
        <v>-3.50628447532654</v>
      </c>
      <c r="M563" s="16" t="s">
        <v>98</v>
      </c>
      <c r="N563" s="16" t="s">
        <v>3374</v>
      </c>
      <c r="O563" s="16" t="s">
        <v>3375</v>
      </c>
      <c r="P563" s="16" t="s">
        <v>3376</v>
      </c>
      <c r="Q563" s="16" t="s">
        <v>100</v>
      </c>
    </row>
    <row r="564" customFormat="false" ht="15" hidden="false" customHeight="false" outlineLevel="0" collapsed="false">
      <c r="A564" s="16" t="n">
        <v>42833</v>
      </c>
      <c r="B564" s="16" t="s">
        <v>3377</v>
      </c>
      <c r="C564" s="16" t="s">
        <v>3378</v>
      </c>
      <c r="D564" s="16" t="s">
        <v>23</v>
      </c>
      <c r="E564" s="16" t="s">
        <v>94</v>
      </c>
      <c r="F564" s="16" t="s">
        <v>3372</v>
      </c>
      <c r="G564" s="16" t="s">
        <v>230</v>
      </c>
      <c r="H564" s="16" t="s">
        <v>48</v>
      </c>
      <c r="I564" s="16" t="s">
        <v>30</v>
      </c>
      <c r="J564" s="16" t="s">
        <v>3379</v>
      </c>
      <c r="K564" s="16" t="n">
        <v>50.7124176025391</v>
      </c>
      <c r="L564" s="16" t="n">
        <v>-3.54940438270569</v>
      </c>
      <c r="M564" s="16" t="s">
        <v>98</v>
      </c>
      <c r="N564" s="16" t="s">
        <v>3380</v>
      </c>
      <c r="O564" s="16"/>
      <c r="P564" s="16" t="s">
        <v>3376</v>
      </c>
      <c r="Q564" s="16" t="s">
        <v>100</v>
      </c>
    </row>
    <row r="565" customFormat="false" ht="15" hidden="false" customHeight="false" outlineLevel="0" collapsed="false">
      <c r="A565" s="16" t="n">
        <v>42840</v>
      </c>
      <c r="B565" s="16" t="s">
        <v>3381</v>
      </c>
      <c r="C565" s="16" t="s">
        <v>3382</v>
      </c>
      <c r="D565" s="16" t="s">
        <v>23</v>
      </c>
      <c r="E565" s="16" t="s">
        <v>94</v>
      </c>
      <c r="F565" s="16" t="s">
        <v>3383</v>
      </c>
      <c r="G565" s="16" t="s">
        <v>3384</v>
      </c>
      <c r="H565" s="16" t="s">
        <v>55</v>
      </c>
      <c r="I565" s="16" t="s">
        <v>31</v>
      </c>
      <c r="J565" s="16" t="s">
        <v>3385</v>
      </c>
      <c r="K565" s="16" t="n">
        <v>53.3232727050781</v>
      </c>
      <c r="L565" s="16" t="n">
        <v>-2.69466614723206</v>
      </c>
      <c r="M565" s="16" t="s">
        <v>98</v>
      </c>
      <c r="N565" s="16" t="s">
        <v>3386</v>
      </c>
      <c r="O565" s="16" t="s">
        <v>3387</v>
      </c>
      <c r="P565" s="16" t="s">
        <v>3388</v>
      </c>
      <c r="Q565" s="16" t="s">
        <v>100</v>
      </c>
    </row>
    <row r="566" customFormat="false" ht="15" hidden="false" customHeight="false" outlineLevel="0" collapsed="false">
      <c r="A566" s="16" t="n">
        <v>42841</v>
      </c>
      <c r="B566" s="16" t="s">
        <v>3389</v>
      </c>
      <c r="C566" s="16" t="s">
        <v>3390</v>
      </c>
      <c r="D566" s="16" t="s">
        <v>23</v>
      </c>
      <c r="E566" s="16" t="s">
        <v>94</v>
      </c>
      <c r="F566" s="16" t="s">
        <v>3383</v>
      </c>
      <c r="G566" s="16" t="s">
        <v>462</v>
      </c>
      <c r="H566" s="16" t="s">
        <v>55</v>
      </c>
      <c r="I566" s="16" t="s">
        <v>31</v>
      </c>
      <c r="J566" s="16" t="s">
        <v>3391</v>
      </c>
      <c r="K566" s="16" t="n">
        <v>53.3939781188965</v>
      </c>
      <c r="L566" s="16" t="n">
        <v>-2.61070275306702</v>
      </c>
      <c r="M566" s="16" t="s">
        <v>98</v>
      </c>
      <c r="N566" s="16" t="s">
        <v>3392</v>
      </c>
      <c r="O566" s="16" t="s">
        <v>3387</v>
      </c>
      <c r="P566" s="16" t="s">
        <v>3388</v>
      </c>
      <c r="Q566" s="16" t="s">
        <v>100</v>
      </c>
    </row>
    <row r="567" customFormat="false" ht="15" hidden="false" customHeight="false" outlineLevel="0" collapsed="false">
      <c r="A567" s="16" t="n">
        <v>42843</v>
      </c>
      <c r="B567" s="16" t="s">
        <v>3393</v>
      </c>
      <c r="C567" s="16" t="s">
        <v>3394</v>
      </c>
      <c r="D567" s="16" t="s">
        <v>23</v>
      </c>
      <c r="E567" s="16" t="s">
        <v>94</v>
      </c>
      <c r="F567" s="16" t="s">
        <v>3395</v>
      </c>
      <c r="G567" s="16" t="s">
        <v>517</v>
      </c>
      <c r="H567" s="16" t="s">
        <v>510</v>
      </c>
      <c r="I567" s="16" t="s">
        <v>29</v>
      </c>
      <c r="J567" s="16" t="s">
        <v>3396</v>
      </c>
      <c r="K567" s="16" t="n">
        <v>51.449146270752</v>
      </c>
      <c r="L567" s="16" t="n">
        <v>-1.01473367214203</v>
      </c>
      <c r="M567" s="16" t="s">
        <v>98</v>
      </c>
      <c r="N567" s="16" t="s">
        <v>3397</v>
      </c>
      <c r="O567" s="16"/>
      <c r="P567" s="16" t="s">
        <v>3398</v>
      </c>
      <c r="Q567" s="16" t="s">
        <v>100</v>
      </c>
    </row>
    <row r="568" customFormat="false" ht="15" hidden="false" customHeight="false" outlineLevel="0" collapsed="false">
      <c r="A568" s="16" t="n">
        <v>42864</v>
      </c>
      <c r="B568" s="16" t="s">
        <v>3399</v>
      </c>
      <c r="C568" s="16" t="s">
        <v>3400</v>
      </c>
      <c r="D568" s="16" t="s">
        <v>23</v>
      </c>
      <c r="E568" s="16" t="s">
        <v>94</v>
      </c>
      <c r="F568" s="16" t="s">
        <v>3401</v>
      </c>
      <c r="G568" s="16" t="s">
        <v>801</v>
      </c>
      <c r="H568" s="16" t="s">
        <v>50</v>
      </c>
      <c r="I568" s="16" t="s">
        <v>35</v>
      </c>
      <c r="J568" s="16" t="s">
        <v>3402</v>
      </c>
      <c r="K568" s="16" t="n">
        <v>53.6554756164551</v>
      </c>
      <c r="L568" s="16" t="n">
        <v>-1.81632316112518</v>
      </c>
      <c r="M568" s="16" t="s">
        <v>98</v>
      </c>
      <c r="N568" s="16" t="s">
        <v>3403</v>
      </c>
      <c r="O568" s="16" t="s">
        <v>3404</v>
      </c>
      <c r="P568" s="16" t="s">
        <v>3405</v>
      </c>
      <c r="Q568" s="16" t="s">
        <v>100</v>
      </c>
    </row>
    <row r="569" customFormat="false" ht="15" hidden="false" customHeight="false" outlineLevel="0" collapsed="false">
      <c r="A569" s="16" t="n">
        <v>42865</v>
      </c>
      <c r="B569" s="16" t="s">
        <v>3406</v>
      </c>
      <c r="C569" s="16" t="s">
        <v>3407</v>
      </c>
      <c r="D569" s="16" t="s">
        <v>23</v>
      </c>
      <c r="E569" s="16" t="s">
        <v>94</v>
      </c>
      <c r="F569" s="16" t="s">
        <v>3401</v>
      </c>
      <c r="G569" s="16" t="s">
        <v>3408</v>
      </c>
      <c r="H569" s="16" t="s">
        <v>50</v>
      </c>
      <c r="I569" s="16" t="s">
        <v>35</v>
      </c>
      <c r="J569" s="16" t="s">
        <v>3409</v>
      </c>
      <c r="K569" s="16" t="n">
        <v>53.7048225402832</v>
      </c>
      <c r="L569" s="16" t="n">
        <v>-1.85749363899231</v>
      </c>
      <c r="M569" s="16" t="s">
        <v>98</v>
      </c>
      <c r="N569" s="16" t="s">
        <v>3410</v>
      </c>
      <c r="O569" s="16" t="s">
        <v>3404</v>
      </c>
      <c r="P569" s="16" t="s">
        <v>3405</v>
      </c>
      <c r="Q569" s="16" t="s">
        <v>100</v>
      </c>
    </row>
    <row r="570" customFormat="false" ht="15" hidden="false" customHeight="false" outlineLevel="0" collapsed="false">
      <c r="A570" s="16" t="n">
        <v>42880</v>
      </c>
      <c r="B570" s="16" t="s">
        <v>3411</v>
      </c>
      <c r="C570" s="16" t="s">
        <v>3412</v>
      </c>
      <c r="D570" s="16" t="s">
        <v>23</v>
      </c>
      <c r="E570" s="16" t="s">
        <v>94</v>
      </c>
      <c r="F570" s="16" t="s">
        <v>3413</v>
      </c>
      <c r="G570" s="16" t="s">
        <v>1192</v>
      </c>
      <c r="H570" s="16" t="s">
        <v>694</v>
      </c>
      <c r="I570" s="16" t="s">
        <v>36</v>
      </c>
      <c r="J570" s="16" t="s">
        <v>3414</v>
      </c>
      <c r="K570" s="16" t="n">
        <v>52.9912376403809</v>
      </c>
      <c r="L570" s="16" t="n">
        <v>-1.15841317176819</v>
      </c>
      <c r="M570" s="16" t="s">
        <v>98</v>
      </c>
      <c r="N570" s="16" t="s">
        <v>3415</v>
      </c>
      <c r="O570" s="16" t="s">
        <v>3416</v>
      </c>
      <c r="P570" s="16" t="s">
        <v>3417</v>
      </c>
      <c r="Q570" s="16" t="s">
        <v>100</v>
      </c>
    </row>
    <row r="571" customFormat="false" ht="15" hidden="false" customHeight="false" outlineLevel="0" collapsed="false">
      <c r="A571" s="16" t="n">
        <v>42881</v>
      </c>
      <c r="B571" s="16" t="s">
        <v>3418</v>
      </c>
      <c r="C571" s="16" t="s">
        <v>3419</v>
      </c>
      <c r="D571" s="16" t="s">
        <v>23</v>
      </c>
      <c r="E571" s="16" t="s">
        <v>94</v>
      </c>
      <c r="F571" s="16" t="s">
        <v>3413</v>
      </c>
      <c r="G571" s="16" t="s">
        <v>1192</v>
      </c>
      <c r="H571" s="16" t="s">
        <v>694</v>
      </c>
      <c r="I571" s="16" t="s">
        <v>36</v>
      </c>
      <c r="J571" s="16" t="s">
        <v>3420</v>
      </c>
      <c r="K571" s="16" t="n">
        <v>52.9438018798828</v>
      </c>
      <c r="L571" s="16" t="n">
        <v>-1.18594181537628</v>
      </c>
      <c r="M571" s="16" t="s">
        <v>98</v>
      </c>
      <c r="N571" s="16" t="s">
        <v>3421</v>
      </c>
      <c r="O571" s="16"/>
      <c r="P571" s="16" t="s">
        <v>3417</v>
      </c>
      <c r="Q571" s="16" t="s">
        <v>100</v>
      </c>
    </row>
    <row r="572" customFormat="false" ht="15" hidden="false" customHeight="false" outlineLevel="0" collapsed="false">
      <c r="A572" s="16" t="n">
        <v>42885</v>
      </c>
      <c r="B572" s="16" t="s">
        <v>3422</v>
      </c>
      <c r="C572" s="16" t="s">
        <v>3423</v>
      </c>
      <c r="D572" s="16" t="s">
        <v>23</v>
      </c>
      <c r="E572" s="16" t="s">
        <v>94</v>
      </c>
      <c r="F572" s="16" t="s">
        <v>3424</v>
      </c>
      <c r="G572" s="16" t="s">
        <v>559</v>
      </c>
      <c r="H572" s="16" t="s">
        <v>187</v>
      </c>
      <c r="I572" s="16" t="s">
        <v>29</v>
      </c>
      <c r="J572" s="16" t="s">
        <v>3425</v>
      </c>
      <c r="K572" s="16" t="n">
        <v>50.8301467895508</v>
      </c>
      <c r="L572" s="16" t="n">
        <v>-0.184233903884888</v>
      </c>
      <c r="M572" s="16" t="s">
        <v>98</v>
      </c>
      <c r="N572" s="16" t="s">
        <v>3426</v>
      </c>
      <c r="O572" s="16" t="s">
        <v>3427</v>
      </c>
      <c r="P572" s="16" t="s">
        <v>3428</v>
      </c>
      <c r="Q572" s="16" t="s">
        <v>100</v>
      </c>
    </row>
    <row r="573" customFormat="false" ht="15" hidden="false" customHeight="false" outlineLevel="0" collapsed="false">
      <c r="A573" s="16" t="n">
        <v>42890</v>
      </c>
      <c r="B573" s="16" t="s">
        <v>3429</v>
      </c>
      <c r="C573" s="16" t="s">
        <v>3430</v>
      </c>
      <c r="D573" s="16" t="s">
        <v>23</v>
      </c>
      <c r="E573" s="16" t="s">
        <v>94</v>
      </c>
      <c r="F573" s="16" t="s">
        <v>3424</v>
      </c>
      <c r="G573" s="16" t="s">
        <v>559</v>
      </c>
      <c r="H573" s="16" t="s">
        <v>187</v>
      </c>
      <c r="I573" s="16" t="s">
        <v>29</v>
      </c>
      <c r="J573" s="16" t="s">
        <v>3431</v>
      </c>
      <c r="K573" s="16" t="n">
        <v>50.842041015625</v>
      </c>
      <c r="L573" s="16" t="n">
        <v>-0.189752131700516</v>
      </c>
      <c r="M573" s="16" t="s">
        <v>98</v>
      </c>
      <c r="N573" s="16" t="s">
        <v>3432</v>
      </c>
      <c r="O573" s="16" t="s">
        <v>3427</v>
      </c>
      <c r="P573" s="16" t="s">
        <v>3433</v>
      </c>
      <c r="Q573" s="16" t="s">
        <v>100</v>
      </c>
    </row>
    <row r="574" customFormat="false" ht="15" hidden="false" customHeight="false" outlineLevel="0" collapsed="false">
      <c r="A574" s="16" t="n">
        <v>42893</v>
      </c>
      <c r="B574" s="16" t="s">
        <v>3434</v>
      </c>
      <c r="C574" s="16" t="s">
        <v>3435</v>
      </c>
      <c r="D574" s="16" t="s">
        <v>23</v>
      </c>
      <c r="E574" s="16" t="s">
        <v>94</v>
      </c>
      <c r="F574" s="16" t="s">
        <v>3424</v>
      </c>
      <c r="G574" s="16" t="s">
        <v>647</v>
      </c>
      <c r="H574" s="16" t="s">
        <v>214</v>
      </c>
      <c r="I574" s="16" t="s">
        <v>29</v>
      </c>
      <c r="J574" s="16" t="s">
        <v>3436</v>
      </c>
      <c r="K574" s="16" t="n">
        <v>50.8095321655273</v>
      </c>
      <c r="L574" s="16" t="n">
        <v>-0.38277018070221</v>
      </c>
      <c r="M574" s="16" t="s">
        <v>98</v>
      </c>
      <c r="N574" s="16" t="s">
        <v>3437</v>
      </c>
      <c r="O574" s="16" t="s">
        <v>3427</v>
      </c>
      <c r="P574" s="16" t="s">
        <v>3438</v>
      </c>
      <c r="Q574" s="16" t="s">
        <v>100</v>
      </c>
    </row>
    <row r="575" customFormat="false" ht="15" hidden="false" customHeight="false" outlineLevel="0" collapsed="false">
      <c r="A575" s="16" t="n">
        <v>42922</v>
      </c>
      <c r="B575" s="16" t="s">
        <v>3439</v>
      </c>
      <c r="C575" s="16" t="s">
        <v>3440</v>
      </c>
      <c r="D575" s="16" t="s">
        <v>23</v>
      </c>
      <c r="E575" s="16" t="s">
        <v>94</v>
      </c>
      <c r="F575" s="16" t="s">
        <v>3424</v>
      </c>
      <c r="G575" s="16" t="s">
        <v>3441</v>
      </c>
      <c r="H575" s="16" t="s">
        <v>187</v>
      </c>
      <c r="I575" s="16" t="s">
        <v>29</v>
      </c>
      <c r="J575" s="16" t="s">
        <v>3442</v>
      </c>
      <c r="K575" s="16" t="n">
        <v>50.890323638916</v>
      </c>
      <c r="L575" s="16" t="n">
        <v>0.263305723667145</v>
      </c>
      <c r="M575" s="16" t="s">
        <v>98</v>
      </c>
      <c r="N575" s="16" t="s">
        <v>3443</v>
      </c>
      <c r="O575" s="16" t="s">
        <v>3427</v>
      </c>
      <c r="P575" s="16" t="s">
        <v>3444</v>
      </c>
      <c r="Q575" s="16" t="s">
        <v>100</v>
      </c>
    </row>
    <row r="576" customFormat="false" ht="15" hidden="false" customHeight="false" outlineLevel="0" collapsed="false">
      <c r="A576" s="16" t="n">
        <v>42924</v>
      </c>
      <c r="B576" s="16" t="s">
        <v>3445</v>
      </c>
      <c r="C576" s="16" t="s">
        <v>3446</v>
      </c>
      <c r="D576" s="16" t="s">
        <v>23</v>
      </c>
      <c r="E576" s="16" t="s">
        <v>94</v>
      </c>
      <c r="F576" s="16" t="s">
        <v>3424</v>
      </c>
      <c r="G576" s="16" t="s">
        <v>3441</v>
      </c>
      <c r="H576" s="16" t="s">
        <v>187</v>
      </c>
      <c r="I576" s="16" t="s">
        <v>29</v>
      </c>
      <c r="J576" s="16" t="s">
        <v>3447</v>
      </c>
      <c r="K576" s="16" t="n">
        <v>50.8818321228027</v>
      </c>
      <c r="L576" s="16" t="n">
        <v>0.275532901287079</v>
      </c>
      <c r="M576" s="16" t="s">
        <v>98</v>
      </c>
      <c r="N576" s="16" t="s">
        <v>3443</v>
      </c>
      <c r="O576" s="16" t="s">
        <v>3427</v>
      </c>
      <c r="P576" s="16" t="s">
        <v>3448</v>
      </c>
      <c r="Q576" s="16" t="s">
        <v>100</v>
      </c>
    </row>
    <row r="577" customFormat="false" ht="15" hidden="false" customHeight="false" outlineLevel="0" collapsed="false">
      <c r="A577" s="16" t="n">
        <v>42941</v>
      </c>
      <c r="B577" s="16" t="s">
        <v>3449</v>
      </c>
      <c r="C577" s="16" t="s">
        <v>3450</v>
      </c>
      <c r="D577" s="16" t="s">
        <v>23</v>
      </c>
      <c r="E577" s="16" t="s">
        <v>94</v>
      </c>
      <c r="F577" s="16" t="s">
        <v>3424</v>
      </c>
      <c r="G577" s="16" t="s">
        <v>3451</v>
      </c>
      <c r="H577" s="16" t="s">
        <v>214</v>
      </c>
      <c r="I577" s="16" t="s">
        <v>29</v>
      </c>
      <c r="J577" s="16" t="s">
        <v>3452</v>
      </c>
      <c r="K577" s="16" t="n">
        <v>51.1319541931152</v>
      </c>
      <c r="L577" s="16" t="n">
        <v>-0.189015656709671</v>
      </c>
      <c r="M577" s="16" t="s">
        <v>98</v>
      </c>
      <c r="N577" s="16" t="s">
        <v>3453</v>
      </c>
      <c r="O577" s="16" t="s">
        <v>3427</v>
      </c>
      <c r="P577" s="16" t="s">
        <v>3454</v>
      </c>
      <c r="Q577" s="16" t="s">
        <v>100</v>
      </c>
    </row>
    <row r="578" customFormat="false" ht="15" hidden="false" customHeight="false" outlineLevel="0" collapsed="false">
      <c r="A578" s="16" t="n">
        <v>42952</v>
      </c>
      <c r="B578" s="16" t="s">
        <v>3455</v>
      </c>
      <c r="C578" s="16" t="s">
        <v>3456</v>
      </c>
      <c r="D578" s="16" t="s">
        <v>23</v>
      </c>
      <c r="E578" s="16" t="s">
        <v>94</v>
      </c>
      <c r="F578" s="16" t="s">
        <v>3457</v>
      </c>
      <c r="G578" s="16" t="s">
        <v>941</v>
      </c>
      <c r="H578" s="16" t="s">
        <v>942</v>
      </c>
      <c r="I578" s="16" t="s">
        <v>37</v>
      </c>
      <c r="J578" s="16" t="s">
        <v>3458</v>
      </c>
      <c r="K578" s="16" t="n">
        <v>54.5434875488281</v>
      </c>
      <c r="L578" s="16" t="n">
        <v>-1.5911226272583</v>
      </c>
      <c r="M578" s="16" t="s">
        <v>98</v>
      </c>
      <c r="N578" s="16" t="s">
        <v>3459</v>
      </c>
      <c r="O578" s="16"/>
      <c r="P578" s="16" t="s">
        <v>3460</v>
      </c>
      <c r="Q578" s="16" t="s">
        <v>100</v>
      </c>
    </row>
    <row r="579" customFormat="false" ht="15" hidden="false" customHeight="false" outlineLevel="0" collapsed="false">
      <c r="A579" s="16" t="n">
        <v>42955</v>
      </c>
      <c r="B579" s="16" t="s">
        <v>3461</v>
      </c>
      <c r="C579" s="16" t="s">
        <v>3462</v>
      </c>
      <c r="D579" s="16" t="s">
        <v>23</v>
      </c>
      <c r="E579" s="16" t="s">
        <v>94</v>
      </c>
      <c r="F579" s="16" t="s">
        <v>3457</v>
      </c>
      <c r="G579" s="16" t="s">
        <v>3463</v>
      </c>
      <c r="H579" s="16" t="s">
        <v>942</v>
      </c>
      <c r="I579" s="16" t="s">
        <v>37</v>
      </c>
      <c r="J579" s="16" t="s">
        <v>3464</v>
      </c>
      <c r="K579" s="16" t="n">
        <v>54.654842376709</v>
      </c>
      <c r="L579" s="16" t="n">
        <v>-1.68074059486389</v>
      </c>
      <c r="M579" s="16" t="s">
        <v>98</v>
      </c>
      <c r="N579" s="16" t="s">
        <v>3465</v>
      </c>
      <c r="O579" s="16"/>
      <c r="P579" s="16" t="s">
        <v>3466</v>
      </c>
      <c r="Q579" s="16" t="s">
        <v>100</v>
      </c>
    </row>
    <row r="580" customFormat="false" ht="15" hidden="false" customHeight="false" outlineLevel="0" collapsed="false">
      <c r="A580" s="16" t="n">
        <v>42975</v>
      </c>
      <c r="B580" s="16" t="s">
        <v>3467</v>
      </c>
      <c r="C580" s="16" t="s">
        <v>3468</v>
      </c>
      <c r="D580" s="16" t="s">
        <v>23</v>
      </c>
      <c r="E580" s="16" t="s">
        <v>94</v>
      </c>
      <c r="F580" s="16" t="s">
        <v>3457</v>
      </c>
      <c r="G580" s="16" t="s">
        <v>3031</v>
      </c>
      <c r="H580" s="16" t="s">
        <v>303</v>
      </c>
      <c r="I580" s="16" t="s">
        <v>37</v>
      </c>
      <c r="J580" s="16" t="s">
        <v>3469</v>
      </c>
      <c r="K580" s="16" t="n">
        <v>54.562126159668</v>
      </c>
      <c r="L580" s="16" t="n">
        <v>-1.25713431835175</v>
      </c>
      <c r="M580" s="16" t="s">
        <v>98</v>
      </c>
      <c r="N580" s="16" t="s">
        <v>3470</v>
      </c>
      <c r="O580" s="16"/>
      <c r="P580" s="16" t="s">
        <v>3471</v>
      </c>
      <c r="Q580" s="16" t="s">
        <v>100</v>
      </c>
    </row>
    <row r="581" customFormat="false" ht="15" hidden="false" customHeight="false" outlineLevel="0" collapsed="false">
      <c r="A581" s="16" t="n">
        <v>42984</v>
      </c>
      <c r="B581" s="16" t="s">
        <v>3472</v>
      </c>
      <c r="C581" s="16" t="s">
        <v>3473</v>
      </c>
      <c r="D581" s="16" t="s">
        <v>23</v>
      </c>
      <c r="E581" s="16" t="s">
        <v>94</v>
      </c>
      <c r="F581" s="16" t="s">
        <v>3457</v>
      </c>
      <c r="G581" s="16" t="s">
        <v>941</v>
      </c>
      <c r="H581" s="16" t="s">
        <v>942</v>
      </c>
      <c r="I581" s="16" t="s">
        <v>37</v>
      </c>
      <c r="J581" s="16" t="s">
        <v>3458</v>
      </c>
      <c r="K581" s="16" t="n">
        <v>54.5434875488281</v>
      </c>
      <c r="L581" s="16" t="n">
        <v>-1.5911226272583</v>
      </c>
      <c r="M581" s="16" t="s">
        <v>98</v>
      </c>
      <c r="N581" s="16" t="s">
        <v>3459</v>
      </c>
      <c r="O581" s="16"/>
      <c r="P581" s="16" t="s">
        <v>3474</v>
      </c>
      <c r="Q581" s="16" t="s">
        <v>100</v>
      </c>
    </row>
    <row r="582" customFormat="false" ht="15" hidden="false" customHeight="false" outlineLevel="0" collapsed="false">
      <c r="A582" s="16" t="n">
        <v>42986</v>
      </c>
      <c r="B582" s="16" t="s">
        <v>3475</v>
      </c>
      <c r="C582" s="16" t="s">
        <v>3476</v>
      </c>
      <c r="D582" s="16" t="s">
        <v>23</v>
      </c>
      <c r="E582" s="16" t="s">
        <v>94</v>
      </c>
      <c r="F582" s="16" t="s">
        <v>3457</v>
      </c>
      <c r="G582" s="16" t="s">
        <v>3183</v>
      </c>
      <c r="H582" s="16" t="s">
        <v>303</v>
      </c>
      <c r="I582" s="16" t="s">
        <v>37</v>
      </c>
      <c r="J582" s="16" t="s">
        <v>3477</v>
      </c>
      <c r="K582" s="16" t="n">
        <v>54.6932678222656</v>
      </c>
      <c r="L582" s="16" t="n">
        <v>-1.2123247385025</v>
      </c>
      <c r="M582" s="16" t="s">
        <v>98</v>
      </c>
      <c r="N582" s="16" t="s">
        <v>3478</v>
      </c>
      <c r="O582" s="16"/>
      <c r="P582" s="16" t="s">
        <v>3479</v>
      </c>
      <c r="Q582" s="16" t="s">
        <v>100</v>
      </c>
    </row>
    <row r="583" customFormat="false" ht="15" hidden="false" customHeight="false" outlineLevel="0" collapsed="false">
      <c r="A583" s="16" t="n">
        <v>42990</v>
      </c>
      <c r="B583" s="16" t="s">
        <v>3480</v>
      </c>
      <c r="C583" s="16" t="s">
        <v>3481</v>
      </c>
      <c r="D583" s="16" t="s">
        <v>23</v>
      </c>
      <c r="E583" s="16" t="s">
        <v>94</v>
      </c>
      <c r="F583" s="16" t="s">
        <v>3457</v>
      </c>
      <c r="G583" s="16" t="s">
        <v>3482</v>
      </c>
      <c r="H583" s="16" t="s">
        <v>54</v>
      </c>
      <c r="I583" s="16" t="s">
        <v>35</v>
      </c>
      <c r="J583" s="16" t="s">
        <v>3483</v>
      </c>
      <c r="K583" s="16" t="n">
        <v>54.2960624694824</v>
      </c>
      <c r="L583" s="16" t="n">
        <v>-0.424973875284195</v>
      </c>
      <c r="M583" s="16" t="s">
        <v>98</v>
      </c>
      <c r="N583" s="16" t="s">
        <v>3484</v>
      </c>
      <c r="O583" s="16"/>
      <c r="P583" s="16" t="s">
        <v>3485</v>
      </c>
      <c r="Q583" s="16" t="s">
        <v>100</v>
      </c>
    </row>
    <row r="584" customFormat="false" ht="15" hidden="false" customHeight="false" outlineLevel="0" collapsed="false">
      <c r="A584" s="16" t="n">
        <v>43002</v>
      </c>
      <c r="B584" s="16" t="s">
        <v>3486</v>
      </c>
      <c r="C584" s="16" t="s">
        <v>3487</v>
      </c>
      <c r="D584" s="16" t="s">
        <v>23</v>
      </c>
      <c r="E584" s="16" t="s">
        <v>94</v>
      </c>
      <c r="F584" s="16" t="s">
        <v>3488</v>
      </c>
      <c r="G584" s="16" t="s">
        <v>2413</v>
      </c>
      <c r="H584" s="16" t="s">
        <v>279</v>
      </c>
      <c r="I584" s="16" t="s">
        <v>37</v>
      </c>
      <c r="J584" s="16" t="s">
        <v>3489</v>
      </c>
      <c r="K584" s="16" t="n">
        <v>54.8639373779297</v>
      </c>
      <c r="L584" s="16" t="n">
        <v>-1.36930477619171</v>
      </c>
      <c r="M584" s="16" t="s">
        <v>98</v>
      </c>
      <c r="N584" s="16" t="s">
        <v>3490</v>
      </c>
      <c r="O584" s="16"/>
      <c r="P584" s="16" t="s">
        <v>3491</v>
      </c>
      <c r="Q584" s="16" t="s">
        <v>100</v>
      </c>
    </row>
    <row r="585" customFormat="false" ht="15" hidden="false" customHeight="false" outlineLevel="0" collapsed="false">
      <c r="A585" s="16" t="n">
        <v>43003</v>
      </c>
      <c r="B585" s="16" t="s">
        <v>3492</v>
      </c>
      <c r="C585" s="16" t="s">
        <v>3493</v>
      </c>
      <c r="D585" s="16" t="s">
        <v>23</v>
      </c>
      <c r="E585" s="16" t="s">
        <v>94</v>
      </c>
      <c r="F585" s="16" t="s">
        <v>3488</v>
      </c>
      <c r="G585" s="16" t="s">
        <v>2964</v>
      </c>
      <c r="H585" s="16" t="s">
        <v>2930</v>
      </c>
      <c r="I585" s="16" t="s">
        <v>37</v>
      </c>
      <c r="J585" s="16" t="s">
        <v>3494</v>
      </c>
      <c r="K585" s="16" t="n">
        <v>55.1849136352539</v>
      </c>
      <c r="L585" s="16" t="n">
        <v>-1.71187102794647</v>
      </c>
      <c r="M585" s="16" t="s">
        <v>98</v>
      </c>
      <c r="N585" s="16" t="s">
        <v>3495</v>
      </c>
      <c r="O585" s="16"/>
      <c r="P585" s="16" t="s">
        <v>3491</v>
      </c>
      <c r="Q585" s="16" t="s">
        <v>100</v>
      </c>
    </row>
    <row r="586" customFormat="false" ht="15" hidden="false" customHeight="false" outlineLevel="0" collapsed="false">
      <c r="A586" s="16" t="n">
        <v>43004</v>
      </c>
      <c r="B586" s="16" t="s">
        <v>3496</v>
      </c>
      <c r="C586" s="16" t="s">
        <v>3497</v>
      </c>
      <c r="D586" s="16" t="s">
        <v>23</v>
      </c>
      <c r="E586" s="16" t="s">
        <v>94</v>
      </c>
      <c r="F586" s="16" t="s">
        <v>3488</v>
      </c>
      <c r="G586" s="16" t="s">
        <v>3498</v>
      </c>
      <c r="H586" s="16" t="s">
        <v>2930</v>
      </c>
      <c r="I586" s="16" t="s">
        <v>37</v>
      </c>
      <c r="J586" s="16" t="s">
        <v>3499</v>
      </c>
      <c r="K586" s="16" t="n">
        <v>54.9498329162598</v>
      </c>
      <c r="L586" s="16" t="n">
        <v>-1.84131288528442</v>
      </c>
      <c r="M586" s="16" t="s">
        <v>98</v>
      </c>
      <c r="N586" s="16" t="s">
        <v>3500</v>
      </c>
      <c r="O586" s="16"/>
      <c r="P586" s="16" t="s">
        <v>3491</v>
      </c>
      <c r="Q586" s="16" t="s">
        <v>100</v>
      </c>
    </row>
    <row r="587" customFormat="false" ht="15" hidden="false" customHeight="false" outlineLevel="0" collapsed="false">
      <c r="A587" s="16" t="n">
        <v>43005</v>
      </c>
      <c r="B587" s="16" t="s">
        <v>3501</v>
      </c>
      <c r="C587" s="16" t="s">
        <v>3502</v>
      </c>
      <c r="D587" s="16" t="s">
        <v>23</v>
      </c>
      <c r="E587" s="16" t="s">
        <v>94</v>
      </c>
      <c r="F587" s="16" t="s">
        <v>3488</v>
      </c>
      <c r="G587" s="16" t="s">
        <v>2964</v>
      </c>
      <c r="H587" s="16" t="s">
        <v>2930</v>
      </c>
      <c r="I587" s="16" t="s">
        <v>37</v>
      </c>
      <c r="J587" s="16" t="s">
        <v>3503</v>
      </c>
      <c r="K587" s="16" t="n">
        <v>55.1785621643066</v>
      </c>
      <c r="L587" s="16" t="n">
        <v>-1.68278932571411</v>
      </c>
      <c r="M587" s="16" t="s">
        <v>98</v>
      </c>
      <c r="N587" s="16" t="s">
        <v>3495</v>
      </c>
      <c r="O587" s="16"/>
      <c r="P587" s="16" t="s">
        <v>3491</v>
      </c>
      <c r="Q587" s="16" t="s">
        <v>100</v>
      </c>
    </row>
    <row r="588" customFormat="false" ht="15" hidden="false" customHeight="false" outlineLevel="0" collapsed="false">
      <c r="A588" s="16" t="n">
        <v>43007</v>
      </c>
      <c r="B588" s="16" t="s">
        <v>3504</v>
      </c>
      <c r="C588" s="16" t="s">
        <v>3505</v>
      </c>
      <c r="D588" s="16" t="s">
        <v>23</v>
      </c>
      <c r="E588" s="16" t="s">
        <v>94</v>
      </c>
      <c r="F588" s="16" t="s">
        <v>3488</v>
      </c>
      <c r="G588" s="16" t="s">
        <v>278</v>
      </c>
      <c r="H588" s="16" t="s">
        <v>279</v>
      </c>
      <c r="I588" s="16" t="s">
        <v>37</v>
      </c>
      <c r="J588" s="16" t="s">
        <v>3506</v>
      </c>
      <c r="K588" s="16" t="n">
        <v>55.0064888000488</v>
      </c>
      <c r="L588" s="16" t="n">
        <v>-1.63308417797089</v>
      </c>
      <c r="M588" s="16" t="s">
        <v>98</v>
      </c>
      <c r="N588" s="16" t="s">
        <v>3495</v>
      </c>
      <c r="O588" s="16"/>
      <c r="P588" s="16" t="s">
        <v>3491</v>
      </c>
      <c r="Q588" s="16" t="s">
        <v>100</v>
      </c>
    </row>
    <row r="589" customFormat="false" ht="15" hidden="false" customHeight="false" outlineLevel="0" collapsed="false">
      <c r="A589" s="16" t="n">
        <v>43010</v>
      </c>
      <c r="B589" s="16" t="s">
        <v>3507</v>
      </c>
      <c r="C589" s="16" t="s">
        <v>3508</v>
      </c>
      <c r="D589" s="16" t="s">
        <v>23</v>
      </c>
      <c r="E589" s="16" t="s">
        <v>94</v>
      </c>
      <c r="F589" s="16" t="s">
        <v>3488</v>
      </c>
      <c r="G589" s="16" t="s">
        <v>2413</v>
      </c>
      <c r="H589" s="16" t="s">
        <v>279</v>
      </c>
      <c r="I589" s="16" t="s">
        <v>37</v>
      </c>
      <c r="J589" s="16" t="s">
        <v>3509</v>
      </c>
      <c r="K589" s="16" t="n">
        <v>54.9245491027832</v>
      </c>
      <c r="L589" s="16" t="n">
        <v>-1.38676929473877</v>
      </c>
      <c r="M589" s="16" t="s">
        <v>98</v>
      </c>
      <c r="N589" s="16" t="s">
        <v>3510</v>
      </c>
      <c r="O589" s="16"/>
      <c r="P589" s="16" t="s">
        <v>3511</v>
      </c>
      <c r="Q589" s="16" t="s">
        <v>100</v>
      </c>
    </row>
    <row r="590" customFormat="false" ht="15" hidden="false" customHeight="false" outlineLevel="0" collapsed="false">
      <c r="A590" s="16" t="n">
        <v>43021</v>
      </c>
      <c r="B590" s="16" t="s">
        <v>3512</v>
      </c>
      <c r="C590" s="16" t="s">
        <v>3513</v>
      </c>
      <c r="D590" s="16" t="s">
        <v>23</v>
      </c>
      <c r="E590" s="16" t="s">
        <v>94</v>
      </c>
      <c r="F590" s="16" t="s">
        <v>3514</v>
      </c>
      <c r="G590" s="16" t="s">
        <v>202</v>
      </c>
      <c r="H590" s="16" t="s">
        <v>55</v>
      </c>
      <c r="I590" s="16" t="s">
        <v>31</v>
      </c>
      <c r="J590" s="16" t="s">
        <v>3515</v>
      </c>
      <c r="K590" s="16" t="n">
        <v>53.2115478515625</v>
      </c>
      <c r="L590" s="16" t="n">
        <v>-2.89881062507629</v>
      </c>
      <c r="M590" s="16" t="s">
        <v>98</v>
      </c>
      <c r="N590" s="16" t="s">
        <v>3516</v>
      </c>
      <c r="O590" s="16" t="s">
        <v>3517</v>
      </c>
      <c r="P590" s="16" t="s">
        <v>3518</v>
      </c>
      <c r="Q590" s="16" t="s">
        <v>100</v>
      </c>
    </row>
    <row r="591" customFormat="false" ht="15" hidden="false" customHeight="false" outlineLevel="0" collapsed="false">
      <c r="A591" s="16" t="n">
        <v>43032</v>
      </c>
      <c r="B591" s="16" t="s">
        <v>3519</v>
      </c>
      <c r="C591" s="16" t="s">
        <v>3520</v>
      </c>
      <c r="D591" s="16" t="s">
        <v>23</v>
      </c>
      <c r="E591" s="16" t="s">
        <v>94</v>
      </c>
      <c r="F591" s="16" t="s">
        <v>3521</v>
      </c>
      <c r="G591" s="16" t="s">
        <v>374</v>
      </c>
      <c r="H591" s="16" t="s">
        <v>187</v>
      </c>
      <c r="I591" s="16" t="s">
        <v>29</v>
      </c>
      <c r="J591" s="16" t="s">
        <v>3522</v>
      </c>
      <c r="K591" s="16" t="n">
        <v>50.8851661682129</v>
      </c>
      <c r="L591" s="16" t="n">
        <v>0.567284166812897</v>
      </c>
      <c r="M591" s="16" t="s">
        <v>98</v>
      </c>
      <c r="N591" s="16" t="s">
        <v>3523</v>
      </c>
      <c r="O591" s="16"/>
      <c r="P591" s="16" t="s">
        <v>3524</v>
      </c>
      <c r="Q591" s="16" t="s">
        <v>100</v>
      </c>
    </row>
    <row r="592" customFormat="false" ht="15" hidden="false" customHeight="false" outlineLevel="0" collapsed="false">
      <c r="A592" s="16" t="n">
        <v>43033</v>
      </c>
      <c r="B592" s="16" t="s">
        <v>3525</v>
      </c>
      <c r="C592" s="16" t="s">
        <v>3526</v>
      </c>
      <c r="D592" s="16" t="s">
        <v>23</v>
      </c>
      <c r="E592" s="16" t="s">
        <v>94</v>
      </c>
      <c r="F592" s="16" t="s">
        <v>3521</v>
      </c>
      <c r="G592" s="16" t="s">
        <v>3527</v>
      </c>
      <c r="H592" s="16" t="s">
        <v>187</v>
      </c>
      <c r="I592" s="16" t="s">
        <v>29</v>
      </c>
      <c r="J592" s="16" t="s">
        <v>3528</v>
      </c>
      <c r="K592" s="16" t="n">
        <v>50.7869682312012</v>
      </c>
      <c r="L592" s="16" t="n">
        <v>0.271121650934219</v>
      </c>
      <c r="M592" s="16" t="s">
        <v>98</v>
      </c>
      <c r="N592" s="16" t="s">
        <v>3523</v>
      </c>
      <c r="O592" s="16"/>
      <c r="P592" s="16" t="s">
        <v>3529</v>
      </c>
      <c r="Q592" s="16" t="s">
        <v>100</v>
      </c>
    </row>
    <row r="593" customFormat="false" ht="15" hidden="false" customHeight="false" outlineLevel="0" collapsed="false">
      <c r="A593" s="16" t="n">
        <v>43034</v>
      </c>
      <c r="B593" s="16" t="s">
        <v>3530</v>
      </c>
      <c r="C593" s="16" t="s">
        <v>3531</v>
      </c>
      <c r="D593" s="16" t="s">
        <v>23</v>
      </c>
      <c r="E593" s="16" t="s">
        <v>94</v>
      </c>
      <c r="F593" s="16" t="s">
        <v>3521</v>
      </c>
      <c r="G593" s="16" t="s">
        <v>3532</v>
      </c>
      <c r="H593" s="16" t="s">
        <v>3533</v>
      </c>
      <c r="I593" s="16" t="s">
        <v>29</v>
      </c>
      <c r="J593" s="16" t="s">
        <v>3534</v>
      </c>
      <c r="K593" s="16" t="n">
        <v>50.8507041931152</v>
      </c>
      <c r="L593" s="16" t="n">
        <v>0.475511163473129</v>
      </c>
      <c r="M593" s="16" t="s">
        <v>98</v>
      </c>
      <c r="N593" s="16" t="s">
        <v>3523</v>
      </c>
      <c r="O593" s="16"/>
      <c r="P593" s="16" t="s">
        <v>3535</v>
      </c>
      <c r="Q593" s="16" t="s">
        <v>100</v>
      </c>
    </row>
    <row r="594" customFormat="false" ht="15" hidden="false" customHeight="false" outlineLevel="0" collapsed="false">
      <c r="A594" s="16" t="n">
        <v>43044</v>
      </c>
      <c r="B594" s="16" t="s">
        <v>3536</v>
      </c>
      <c r="C594" s="16" t="s">
        <v>3537</v>
      </c>
      <c r="D594" s="16" t="s">
        <v>23</v>
      </c>
      <c r="E594" s="16" t="s">
        <v>94</v>
      </c>
      <c r="F594" s="16" t="s">
        <v>3538</v>
      </c>
      <c r="G594" s="16" t="s">
        <v>1095</v>
      </c>
      <c r="H594" s="16" t="s">
        <v>762</v>
      </c>
      <c r="I594" s="16" t="s">
        <v>35</v>
      </c>
      <c r="J594" s="16" t="s">
        <v>3539</v>
      </c>
      <c r="K594" s="16" t="n">
        <v>53.494815826416</v>
      </c>
      <c r="L594" s="16" t="n">
        <v>-1.145960688591</v>
      </c>
      <c r="M594" s="16" t="s">
        <v>98</v>
      </c>
      <c r="N594" s="16" t="s">
        <v>3540</v>
      </c>
      <c r="O594" s="16"/>
      <c r="P594" s="16" t="s">
        <v>3541</v>
      </c>
      <c r="Q594" s="16" t="s">
        <v>100</v>
      </c>
    </row>
    <row r="595" customFormat="false" ht="15" hidden="false" customHeight="false" outlineLevel="0" collapsed="false">
      <c r="A595" s="16" t="n">
        <v>43046</v>
      </c>
      <c r="B595" s="16" t="s">
        <v>3542</v>
      </c>
      <c r="C595" s="16" t="s">
        <v>3543</v>
      </c>
      <c r="D595" s="16" t="s">
        <v>23</v>
      </c>
      <c r="E595" s="16" t="s">
        <v>94</v>
      </c>
      <c r="F595" s="16" t="s">
        <v>3544</v>
      </c>
      <c r="G595" s="16" t="s">
        <v>3545</v>
      </c>
      <c r="H595" s="16" t="s">
        <v>50</v>
      </c>
      <c r="I595" s="16" t="s">
        <v>35</v>
      </c>
      <c r="J595" s="16" t="s">
        <v>3546</v>
      </c>
      <c r="K595" s="16" t="n">
        <v>53.6904792785645</v>
      </c>
      <c r="L595" s="16" t="n">
        <v>-1.30813109874725</v>
      </c>
      <c r="M595" s="16" t="s">
        <v>98</v>
      </c>
      <c r="N595" s="16" t="s">
        <v>3547</v>
      </c>
      <c r="O595" s="16"/>
      <c r="P595" s="16" t="s">
        <v>3548</v>
      </c>
      <c r="Q595" s="16" t="s">
        <v>100</v>
      </c>
    </row>
    <row r="596" customFormat="false" ht="15" hidden="false" customHeight="false" outlineLevel="0" collapsed="false">
      <c r="A596" s="16" t="n">
        <v>43048</v>
      </c>
      <c r="B596" s="16" t="s">
        <v>3549</v>
      </c>
      <c r="C596" s="16" t="s">
        <v>3550</v>
      </c>
      <c r="D596" s="16" t="s">
        <v>23</v>
      </c>
      <c r="E596" s="16" t="s">
        <v>94</v>
      </c>
      <c r="F596" s="16" t="s">
        <v>3544</v>
      </c>
      <c r="G596" s="16" t="s">
        <v>3551</v>
      </c>
      <c r="H596" s="16" t="s">
        <v>50</v>
      </c>
      <c r="I596" s="16" t="s">
        <v>35</v>
      </c>
      <c r="J596" s="16" t="s">
        <v>3552</v>
      </c>
      <c r="K596" s="16" t="n">
        <v>53.6924209594727</v>
      </c>
      <c r="L596" s="16" t="n">
        <v>-1.48854029178619</v>
      </c>
      <c r="M596" s="16" t="s">
        <v>98</v>
      </c>
      <c r="N596" s="16" t="s">
        <v>3547</v>
      </c>
      <c r="O596" s="16"/>
      <c r="P596" s="16" t="s">
        <v>3548</v>
      </c>
      <c r="Q596" s="16" t="s">
        <v>100</v>
      </c>
    </row>
    <row r="597" customFormat="false" ht="15" hidden="false" customHeight="false" outlineLevel="0" collapsed="false">
      <c r="A597" s="16" t="n">
        <v>43050</v>
      </c>
      <c r="B597" s="16" t="s">
        <v>3553</v>
      </c>
      <c r="C597" s="16" t="s">
        <v>3554</v>
      </c>
      <c r="D597" s="16" t="s">
        <v>23</v>
      </c>
      <c r="E597" s="16" t="s">
        <v>94</v>
      </c>
      <c r="F597" s="16" t="s">
        <v>3544</v>
      </c>
      <c r="G597" s="16" t="s">
        <v>3555</v>
      </c>
      <c r="H597" s="16" t="s">
        <v>50</v>
      </c>
      <c r="I597" s="16" t="s">
        <v>35</v>
      </c>
      <c r="J597" s="16" t="s">
        <v>3556</v>
      </c>
      <c r="K597" s="16" t="n">
        <v>53.7022552490234</v>
      </c>
      <c r="L597" s="16" t="n">
        <v>-1.65186190605164</v>
      </c>
      <c r="M597" s="16" t="s">
        <v>98</v>
      </c>
      <c r="N597" s="16" t="s">
        <v>3547</v>
      </c>
      <c r="O597" s="16"/>
      <c r="P597" s="16" t="s">
        <v>3548</v>
      </c>
      <c r="Q597" s="16" t="s">
        <v>100</v>
      </c>
    </row>
    <row r="598" customFormat="false" ht="15" hidden="false" customHeight="false" outlineLevel="0" collapsed="false">
      <c r="A598" s="16" t="n">
        <v>43057</v>
      </c>
      <c r="B598" s="16" t="s">
        <v>3557</v>
      </c>
      <c r="C598" s="16" t="s">
        <v>3558</v>
      </c>
      <c r="D598" s="16" t="s">
        <v>23</v>
      </c>
      <c r="E598" s="16" t="s">
        <v>94</v>
      </c>
      <c r="F598" s="16" t="s">
        <v>3559</v>
      </c>
      <c r="G598" s="16" t="s">
        <v>3551</v>
      </c>
      <c r="H598" s="16" t="s">
        <v>50</v>
      </c>
      <c r="I598" s="16" t="s">
        <v>35</v>
      </c>
      <c r="J598" s="16" t="s">
        <v>3560</v>
      </c>
      <c r="K598" s="16" t="n">
        <v>53.6973419189453</v>
      </c>
      <c r="L598" s="16" t="n">
        <v>-1.49403917789459</v>
      </c>
      <c r="M598" s="16" t="s">
        <v>98</v>
      </c>
      <c r="N598" s="16" t="s">
        <v>3561</v>
      </c>
      <c r="O598" s="16" t="s">
        <v>3562</v>
      </c>
      <c r="P598" s="16" t="s">
        <v>3563</v>
      </c>
      <c r="Q598" s="16" t="s">
        <v>100</v>
      </c>
    </row>
    <row r="599" customFormat="false" ht="15" hidden="false" customHeight="false" outlineLevel="0" collapsed="false">
      <c r="A599" s="16" t="n">
        <v>43065</v>
      </c>
      <c r="B599" s="16" t="s">
        <v>3564</v>
      </c>
      <c r="C599" s="16" t="s">
        <v>3565</v>
      </c>
      <c r="D599" s="16" t="s">
        <v>23</v>
      </c>
      <c r="E599" s="16" t="s">
        <v>94</v>
      </c>
      <c r="F599" s="16" t="s">
        <v>3559</v>
      </c>
      <c r="G599" s="16" t="s">
        <v>1914</v>
      </c>
      <c r="H599" s="16" t="s">
        <v>762</v>
      </c>
      <c r="I599" s="16" t="s">
        <v>35</v>
      </c>
      <c r="J599" s="16" t="s">
        <v>3566</v>
      </c>
      <c r="K599" s="16" t="n">
        <v>53.5469551086426</v>
      </c>
      <c r="L599" s="16" t="n">
        <v>-1.45460224151611</v>
      </c>
      <c r="M599" s="16" t="s">
        <v>98</v>
      </c>
      <c r="N599" s="16" t="s">
        <v>3567</v>
      </c>
      <c r="O599" s="16" t="s">
        <v>3562</v>
      </c>
      <c r="P599" s="16" t="s">
        <v>3563</v>
      </c>
      <c r="Q599" s="16" t="s">
        <v>100</v>
      </c>
    </row>
    <row r="600" customFormat="false" ht="15" hidden="false" customHeight="false" outlineLevel="0" collapsed="false">
      <c r="A600" s="16" t="n">
        <v>43073</v>
      </c>
      <c r="B600" s="16" t="s">
        <v>3568</v>
      </c>
      <c r="C600" s="16" t="s">
        <v>3569</v>
      </c>
      <c r="D600" s="16" t="s">
        <v>23</v>
      </c>
      <c r="E600" s="16" t="s">
        <v>94</v>
      </c>
      <c r="F600" s="16" t="s">
        <v>3570</v>
      </c>
      <c r="G600" s="16" t="s">
        <v>186</v>
      </c>
      <c r="H600" s="16" t="s">
        <v>187</v>
      </c>
      <c r="I600" s="16" t="s">
        <v>29</v>
      </c>
      <c r="J600" s="16" t="s">
        <v>3571</v>
      </c>
      <c r="K600" s="16" t="n">
        <v>50.8194694519043</v>
      </c>
      <c r="L600" s="16" t="n">
        <v>-0.118162482976913</v>
      </c>
      <c r="M600" s="16" t="s">
        <v>98</v>
      </c>
      <c r="N600" s="16" t="s">
        <v>3572</v>
      </c>
      <c r="O600" s="16"/>
      <c r="P600" s="16" t="s">
        <v>3573</v>
      </c>
      <c r="Q600" s="16" t="s">
        <v>100</v>
      </c>
    </row>
    <row r="601" customFormat="false" ht="15" hidden="false" customHeight="false" outlineLevel="0" collapsed="false">
      <c r="A601" s="16" t="n">
        <v>43074</v>
      </c>
      <c r="B601" s="16" t="s">
        <v>3574</v>
      </c>
      <c r="C601" s="16" t="s">
        <v>3575</v>
      </c>
      <c r="D601" s="16" t="s">
        <v>23</v>
      </c>
      <c r="E601" s="16" t="s">
        <v>94</v>
      </c>
      <c r="F601" s="16" t="s">
        <v>3570</v>
      </c>
      <c r="G601" s="16" t="s">
        <v>186</v>
      </c>
      <c r="H601" s="16" t="s">
        <v>187</v>
      </c>
      <c r="I601" s="16" t="s">
        <v>29</v>
      </c>
      <c r="J601" s="16" t="s">
        <v>3576</v>
      </c>
      <c r="K601" s="16" t="n">
        <v>50.8304595947266</v>
      </c>
      <c r="L601" s="16" t="n">
        <v>-0.115462601184845</v>
      </c>
      <c r="M601" s="16" t="s">
        <v>98</v>
      </c>
      <c r="N601" s="16" t="s">
        <v>3577</v>
      </c>
      <c r="O601" s="16" t="s">
        <v>3578</v>
      </c>
      <c r="P601" s="16" t="s">
        <v>3579</v>
      </c>
      <c r="Q601" s="16" t="s">
        <v>100</v>
      </c>
    </row>
    <row r="602" customFormat="false" ht="15" hidden="false" customHeight="false" outlineLevel="0" collapsed="false">
      <c r="A602" s="16" t="n">
        <v>43075</v>
      </c>
      <c r="B602" s="16" t="s">
        <v>3580</v>
      </c>
      <c r="C602" s="16" t="s">
        <v>3581</v>
      </c>
      <c r="D602" s="16" t="s">
        <v>23</v>
      </c>
      <c r="E602" s="16" t="s">
        <v>94</v>
      </c>
      <c r="F602" s="16" t="s">
        <v>3570</v>
      </c>
      <c r="G602" s="16" t="s">
        <v>186</v>
      </c>
      <c r="H602" s="16" t="s">
        <v>187</v>
      </c>
      <c r="I602" s="16" t="s">
        <v>29</v>
      </c>
      <c r="J602" s="16" t="s">
        <v>3571</v>
      </c>
      <c r="K602" s="16" t="n">
        <v>50.8194694519043</v>
      </c>
      <c r="L602" s="16" t="n">
        <v>-0.118162482976913</v>
      </c>
      <c r="M602" s="16" t="s">
        <v>98</v>
      </c>
      <c r="N602" s="16" t="s">
        <v>3572</v>
      </c>
      <c r="O602" s="16"/>
      <c r="P602" s="16" t="s">
        <v>3573</v>
      </c>
      <c r="Q602" s="16" t="s">
        <v>100</v>
      </c>
    </row>
    <row r="603" customFormat="false" ht="15" hidden="false" customHeight="false" outlineLevel="0" collapsed="false">
      <c r="A603" s="16" t="n">
        <v>43076</v>
      </c>
      <c r="B603" s="16" t="s">
        <v>3582</v>
      </c>
      <c r="C603" s="16" t="s">
        <v>3583</v>
      </c>
      <c r="D603" s="16" t="s">
        <v>23</v>
      </c>
      <c r="E603" s="16" t="s">
        <v>94</v>
      </c>
      <c r="F603" s="16" t="s">
        <v>3570</v>
      </c>
      <c r="G603" s="16" t="s">
        <v>186</v>
      </c>
      <c r="H603" s="16" t="s">
        <v>187</v>
      </c>
      <c r="I603" s="16" t="s">
        <v>29</v>
      </c>
      <c r="J603" s="16" t="s">
        <v>3584</v>
      </c>
      <c r="K603" s="16" t="n">
        <v>50.8187942504883</v>
      </c>
      <c r="L603" s="16" t="n">
        <v>-0.117621704936028</v>
      </c>
      <c r="M603" s="16" t="s">
        <v>98</v>
      </c>
      <c r="N603" s="16" t="s">
        <v>3572</v>
      </c>
      <c r="O603" s="16"/>
      <c r="P603" s="16" t="s">
        <v>3573</v>
      </c>
      <c r="Q603" s="16" t="s">
        <v>100</v>
      </c>
    </row>
    <row r="604" customFormat="false" ht="15" hidden="false" customHeight="false" outlineLevel="0" collapsed="false">
      <c r="A604" s="16" t="n">
        <v>43077</v>
      </c>
      <c r="B604" s="16" t="s">
        <v>3585</v>
      </c>
      <c r="C604" s="16" t="s">
        <v>3586</v>
      </c>
      <c r="D604" s="16" t="s">
        <v>23</v>
      </c>
      <c r="E604" s="16" t="s">
        <v>94</v>
      </c>
      <c r="F604" s="16" t="s">
        <v>3570</v>
      </c>
      <c r="G604" s="16" t="s">
        <v>241</v>
      </c>
      <c r="H604" s="16" t="s">
        <v>214</v>
      </c>
      <c r="I604" s="16" t="s">
        <v>29</v>
      </c>
      <c r="J604" s="16" t="s">
        <v>3587</v>
      </c>
      <c r="K604" s="16" t="n">
        <v>50.991096496582</v>
      </c>
      <c r="L604" s="16" t="n">
        <v>-0.0902679935097694</v>
      </c>
      <c r="M604" s="16" t="s">
        <v>98</v>
      </c>
      <c r="N604" s="16" t="s">
        <v>3588</v>
      </c>
      <c r="O604" s="16"/>
      <c r="P604" s="16" t="s">
        <v>3573</v>
      </c>
      <c r="Q604" s="16" t="s">
        <v>100</v>
      </c>
    </row>
    <row r="605" customFormat="false" ht="15" hidden="false" customHeight="false" outlineLevel="0" collapsed="false">
      <c r="A605" s="16" t="n">
        <v>43107</v>
      </c>
      <c r="B605" s="16" t="s">
        <v>3589</v>
      </c>
      <c r="C605" s="16" t="s">
        <v>3590</v>
      </c>
      <c r="D605" s="16" t="s">
        <v>23</v>
      </c>
      <c r="E605" s="16" t="s">
        <v>94</v>
      </c>
      <c r="F605" s="16" t="s">
        <v>3591</v>
      </c>
      <c r="G605" s="16" t="s">
        <v>3592</v>
      </c>
      <c r="H605" s="16" t="s">
        <v>34</v>
      </c>
      <c r="I605" s="16" t="s">
        <v>34</v>
      </c>
      <c r="J605" s="16" t="s">
        <v>3593</v>
      </c>
      <c r="K605" s="16" t="n">
        <v>52.5280799865723</v>
      </c>
      <c r="L605" s="16" t="n">
        <v>-1.9888573884964</v>
      </c>
      <c r="M605" s="16" t="s">
        <v>98</v>
      </c>
      <c r="N605" s="16" t="s">
        <v>3594</v>
      </c>
      <c r="O605" s="16"/>
      <c r="P605" s="16" t="s">
        <v>3595</v>
      </c>
      <c r="Q605" s="16" t="s">
        <v>100</v>
      </c>
    </row>
    <row r="606" customFormat="false" ht="15" hidden="false" customHeight="false" outlineLevel="0" collapsed="false">
      <c r="A606" s="16" t="n">
        <v>43108</v>
      </c>
      <c r="B606" s="16" t="s">
        <v>3596</v>
      </c>
      <c r="C606" s="16" t="s">
        <v>3597</v>
      </c>
      <c r="D606" s="16" t="s">
        <v>23</v>
      </c>
      <c r="E606" s="16" t="s">
        <v>94</v>
      </c>
      <c r="F606" s="16" t="s">
        <v>3591</v>
      </c>
      <c r="G606" s="16" t="s">
        <v>706</v>
      </c>
      <c r="H606" s="16" t="s">
        <v>34</v>
      </c>
      <c r="I606" s="16" t="s">
        <v>34</v>
      </c>
      <c r="J606" s="16" t="s">
        <v>3598</v>
      </c>
      <c r="K606" s="16" t="n">
        <v>52.4886322021484</v>
      </c>
      <c r="L606" s="16" t="n">
        <v>-1.93249213695526</v>
      </c>
      <c r="M606" s="16" t="s">
        <v>98</v>
      </c>
      <c r="N606" s="16" t="s">
        <v>3599</v>
      </c>
      <c r="O606" s="16"/>
      <c r="P606" s="16" t="s">
        <v>3595</v>
      </c>
      <c r="Q606" s="16" t="s">
        <v>100</v>
      </c>
    </row>
    <row r="607" customFormat="false" ht="15" hidden="false" customHeight="false" outlineLevel="0" collapsed="false">
      <c r="A607" s="16" t="n">
        <v>43110</v>
      </c>
      <c r="B607" s="16" t="s">
        <v>3600</v>
      </c>
      <c r="C607" s="16" t="s">
        <v>3601</v>
      </c>
      <c r="D607" s="16" t="s">
        <v>23</v>
      </c>
      <c r="E607" s="16" t="s">
        <v>94</v>
      </c>
      <c r="F607" s="16" t="s">
        <v>3591</v>
      </c>
      <c r="G607" s="16" t="s">
        <v>3602</v>
      </c>
      <c r="H607" s="16" t="s">
        <v>34</v>
      </c>
      <c r="I607" s="16" t="s">
        <v>34</v>
      </c>
      <c r="J607" s="16" t="s">
        <v>3603</v>
      </c>
      <c r="K607" s="16" t="n">
        <v>52.4807014465332</v>
      </c>
      <c r="L607" s="16" t="n">
        <v>-2.0520658493042</v>
      </c>
      <c r="M607" s="16" t="s">
        <v>98</v>
      </c>
      <c r="N607" s="16" t="s">
        <v>3604</v>
      </c>
      <c r="O607" s="16"/>
      <c r="P607" s="16" t="s">
        <v>3595</v>
      </c>
      <c r="Q607" s="16" t="s">
        <v>100</v>
      </c>
    </row>
    <row r="608" customFormat="false" ht="15" hidden="false" customHeight="false" outlineLevel="0" collapsed="false">
      <c r="A608" s="16" t="n">
        <v>43136</v>
      </c>
      <c r="B608" s="16" t="s">
        <v>3605</v>
      </c>
      <c r="C608" s="16" t="s">
        <v>3606</v>
      </c>
      <c r="D608" s="16" t="s">
        <v>23</v>
      </c>
      <c r="E608" s="16" t="s">
        <v>94</v>
      </c>
      <c r="F608" s="16" t="s">
        <v>3607</v>
      </c>
      <c r="G608" s="16" t="s">
        <v>531</v>
      </c>
      <c r="H608" s="16" t="s">
        <v>47</v>
      </c>
      <c r="I608" s="16" t="s">
        <v>31</v>
      </c>
      <c r="J608" s="16" t="s">
        <v>3608</v>
      </c>
      <c r="K608" s="16" t="n">
        <v>53.8206062316895</v>
      </c>
      <c r="L608" s="16" t="n">
        <v>-3.0158531665802</v>
      </c>
      <c r="M608" s="16" t="s">
        <v>100</v>
      </c>
      <c r="N608" s="16" t="s">
        <v>3609</v>
      </c>
      <c r="O608" s="16" t="s">
        <v>3610</v>
      </c>
      <c r="P608" s="16" t="s">
        <v>3611</v>
      </c>
      <c r="Q608" s="16" t="s">
        <v>100</v>
      </c>
    </row>
    <row r="609" customFormat="false" ht="15" hidden="false" customHeight="false" outlineLevel="0" collapsed="false">
      <c r="A609" s="16" t="n">
        <v>43141</v>
      </c>
      <c r="B609" s="16" t="s">
        <v>3612</v>
      </c>
      <c r="C609" s="16" t="s">
        <v>3613</v>
      </c>
      <c r="D609" s="16" t="s">
        <v>23</v>
      </c>
      <c r="E609" s="16" t="s">
        <v>94</v>
      </c>
      <c r="F609" s="16" t="s">
        <v>3607</v>
      </c>
      <c r="G609" s="16" t="s">
        <v>3614</v>
      </c>
      <c r="H609" s="16" t="s">
        <v>47</v>
      </c>
      <c r="I609" s="16" t="s">
        <v>31</v>
      </c>
      <c r="J609" s="16" t="s">
        <v>3615</v>
      </c>
      <c r="K609" s="16" t="n">
        <v>53.7443504333496</v>
      </c>
      <c r="L609" s="16" t="n">
        <v>-3.00723457336426</v>
      </c>
      <c r="M609" s="16" t="s">
        <v>98</v>
      </c>
      <c r="N609" s="16" t="s">
        <v>3609</v>
      </c>
      <c r="O609" s="16" t="s">
        <v>3616</v>
      </c>
      <c r="P609" s="16" t="s">
        <v>3617</v>
      </c>
      <c r="Q609" s="16" t="s">
        <v>100</v>
      </c>
    </row>
    <row r="610" customFormat="false" ht="15" hidden="false" customHeight="false" outlineLevel="0" collapsed="false">
      <c r="A610" s="16" t="n">
        <v>43162</v>
      </c>
      <c r="B610" s="16" t="s">
        <v>3618</v>
      </c>
      <c r="C610" s="16" t="s">
        <v>3619</v>
      </c>
      <c r="D610" s="16" t="s">
        <v>23</v>
      </c>
      <c r="E610" s="16" t="s">
        <v>94</v>
      </c>
      <c r="F610" s="16" t="s">
        <v>3607</v>
      </c>
      <c r="G610" s="16" t="s">
        <v>3620</v>
      </c>
      <c r="H610" s="16" t="s">
        <v>47</v>
      </c>
      <c r="I610" s="16" t="s">
        <v>31</v>
      </c>
      <c r="J610" s="16" t="s">
        <v>3621</v>
      </c>
      <c r="K610" s="16" t="n">
        <v>53.9262008666992</v>
      </c>
      <c r="L610" s="16" t="n">
        <v>-3.00932455062866</v>
      </c>
      <c r="M610" s="16" t="s">
        <v>98</v>
      </c>
      <c r="N610" s="16"/>
      <c r="O610" s="16"/>
      <c r="P610" s="16"/>
      <c r="Q610" s="16" t="s">
        <v>100</v>
      </c>
    </row>
    <row r="611" customFormat="false" ht="15" hidden="false" customHeight="false" outlineLevel="0" collapsed="false">
      <c r="A611" s="16" t="n">
        <v>43182</v>
      </c>
      <c r="B611" s="16" t="s">
        <v>3622</v>
      </c>
      <c r="C611" s="16" t="s">
        <v>3623</v>
      </c>
      <c r="D611" s="16" t="s">
        <v>23</v>
      </c>
      <c r="E611" s="16" t="s">
        <v>94</v>
      </c>
      <c r="F611" s="16" t="s">
        <v>3624</v>
      </c>
      <c r="G611" s="16" t="s">
        <v>1041</v>
      </c>
      <c r="H611" s="16" t="s">
        <v>47</v>
      </c>
      <c r="I611" s="16" t="s">
        <v>31</v>
      </c>
      <c r="J611" s="16" t="s">
        <v>3625</v>
      </c>
      <c r="K611" s="16" t="n">
        <v>53.6660919189453</v>
      </c>
      <c r="L611" s="16" t="n">
        <v>-2.63644647598267</v>
      </c>
      <c r="M611" s="16" t="s">
        <v>98</v>
      </c>
      <c r="N611" s="16" t="s">
        <v>3626</v>
      </c>
      <c r="O611" s="16" t="s">
        <v>3627</v>
      </c>
      <c r="P611" s="16" t="s">
        <v>3628</v>
      </c>
      <c r="Q611" s="16" t="s">
        <v>100</v>
      </c>
    </row>
    <row r="612" customFormat="false" ht="15" hidden="false" customHeight="false" outlineLevel="0" collapsed="false">
      <c r="A612" s="16" t="n">
        <v>43183</v>
      </c>
      <c r="B612" s="16" t="s">
        <v>3629</v>
      </c>
      <c r="C612" s="16" t="s">
        <v>3630</v>
      </c>
      <c r="D612" s="16" t="s">
        <v>23</v>
      </c>
      <c r="E612" s="16" t="s">
        <v>94</v>
      </c>
      <c r="F612" s="16" t="s">
        <v>3624</v>
      </c>
      <c r="G612" s="16" t="s">
        <v>922</v>
      </c>
      <c r="H612" s="16" t="s">
        <v>47</v>
      </c>
      <c r="I612" s="16" t="s">
        <v>31</v>
      </c>
      <c r="J612" s="16" t="s">
        <v>3631</v>
      </c>
      <c r="K612" s="16" t="n">
        <v>53.7915115356445</v>
      </c>
      <c r="L612" s="16" t="n">
        <v>-2.70682954788208</v>
      </c>
      <c r="M612" s="16" t="s">
        <v>98</v>
      </c>
      <c r="N612" s="16" t="s">
        <v>3632</v>
      </c>
      <c r="O612" s="16" t="s">
        <v>3627</v>
      </c>
      <c r="P612" s="16" t="s">
        <v>3633</v>
      </c>
      <c r="Q612" s="16" t="s">
        <v>100</v>
      </c>
    </row>
    <row r="613" customFormat="false" ht="15" hidden="false" customHeight="false" outlineLevel="0" collapsed="false">
      <c r="A613" s="16" t="n">
        <v>43192</v>
      </c>
      <c r="B613" s="16" t="s">
        <v>3634</v>
      </c>
      <c r="C613" s="16" t="s">
        <v>3635</v>
      </c>
      <c r="D613" s="16" t="s">
        <v>23</v>
      </c>
      <c r="E613" s="16" t="s">
        <v>94</v>
      </c>
      <c r="F613" s="16" t="s">
        <v>73</v>
      </c>
      <c r="G613" s="16" t="s">
        <v>3463</v>
      </c>
      <c r="H613" s="16" t="s">
        <v>942</v>
      </c>
      <c r="I613" s="16" t="s">
        <v>37</v>
      </c>
      <c r="J613" s="16" t="s">
        <v>3636</v>
      </c>
      <c r="K613" s="16" t="n">
        <v>54.6558494567871</v>
      </c>
      <c r="L613" s="16" t="n">
        <v>-1.67853176593781</v>
      </c>
      <c r="M613" s="16" t="s">
        <v>98</v>
      </c>
      <c r="N613" s="16" t="s">
        <v>3637</v>
      </c>
      <c r="O613" s="16" t="s">
        <v>3638</v>
      </c>
      <c r="P613" s="16" t="s">
        <v>3639</v>
      </c>
      <c r="Q613" s="16" t="s">
        <v>100</v>
      </c>
    </row>
    <row r="614" customFormat="false" ht="15" hidden="false" customHeight="false" outlineLevel="0" collapsed="false">
      <c r="A614" s="16" t="n">
        <v>43195</v>
      </c>
      <c r="B614" s="16" t="s">
        <v>3640</v>
      </c>
      <c r="C614" s="16" t="s">
        <v>3641</v>
      </c>
      <c r="D614" s="16" t="s">
        <v>23</v>
      </c>
      <c r="E614" s="16" t="s">
        <v>94</v>
      </c>
      <c r="F614" s="16" t="s">
        <v>73</v>
      </c>
      <c r="G614" s="16" t="s">
        <v>3642</v>
      </c>
      <c r="H614" s="16" t="s">
        <v>942</v>
      </c>
      <c r="I614" s="16" t="s">
        <v>37</v>
      </c>
      <c r="J614" s="16" t="s">
        <v>3643</v>
      </c>
      <c r="K614" s="16" t="n">
        <v>54.8509368896484</v>
      </c>
      <c r="L614" s="16" t="n">
        <v>-1.57504773139954</v>
      </c>
      <c r="M614" s="16" t="s">
        <v>98</v>
      </c>
      <c r="N614" s="16" t="s">
        <v>3644</v>
      </c>
      <c r="O614" s="16" t="s">
        <v>3638</v>
      </c>
      <c r="P614" s="16" t="s">
        <v>3639</v>
      </c>
      <c r="Q614" s="16" t="s">
        <v>100</v>
      </c>
    </row>
    <row r="615" customFormat="false" ht="15" hidden="false" customHeight="false" outlineLevel="0" collapsed="false">
      <c r="A615" s="16" t="n">
        <v>43198</v>
      </c>
      <c r="B615" s="16" t="s">
        <v>3645</v>
      </c>
      <c r="C615" s="16" t="s">
        <v>3646</v>
      </c>
      <c r="D615" s="16" t="s">
        <v>23</v>
      </c>
      <c r="E615" s="16" t="s">
        <v>94</v>
      </c>
      <c r="F615" s="16" t="s">
        <v>73</v>
      </c>
      <c r="G615" s="16" t="s">
        <v>3647</v>
      </c>
      <c r="H615" s="16" t="s">
        <v>942</v>
      </c>
      <c r="I615" s="16" t="s">
        <v>37</v>
      </c>
      <c r="J615" s="16" t="s">
        <v>3648</v>
      </c>
      <c r="K615" s="16" t="n">
        <v>54.788501739502</v>
      </c>
      <c r="L615" s="16" t="n">
        <v>-1.59381878376007</v>
      </c>
      <c r="M615" s="16" t="s">
        <v>98</v>
      </c>
      <c r="N615" s="16" t="s">
        <v>3644</v>
      </c>
      <c r="O615" s="16" t="s">
        <v>3638</v>
      </c>
      <c r="P615" s="16" t="s">
        <v>3639</v>
      </c>
      <c r="Q615" s="16" t="s">
        <v>100</v>
      </c>
    </row>
    <row r="616" customFormat="false" ht="15" hidden="false" customHeight="false" outlineLevel="0" collapsed="false">
      <c r="A616" s="16" t="n">
        <v>43200</v>
      </c>
      <c r="B616" s="16" t="s">
        <v>3649</v>
      </c>
      <c r="C616" s="16" t="s">
        <v>3650</v>
      </c>
      <c r="D616" s="16" t="s">
        <v>23</v>
      </c>
      <c r="E616" s="16" t="s">
        <v>94</v>
      </c>
      <c r="F616" s="16" t="s">
        <v>73</v>
      </c>
      <c r="G616" s="16" t="s">
        <v>3651</v>
      </c>
      <c r="H616" s="16" t="s">
        <v>942</v>
      </c>
      <c r="I616" s="16" t="s">
        <v>37</v>
      </c>
      <c r="J616" s="16" t="s">
        <v>3652</v>
      </c>
      <c r="K616" s="16" t="n">
        <v>54.869083404541</v>
      </c>
      <c r="L616" s="16" t="n">
        <v>-1.8427826166153</v>
      </c>
      <c r="M616" s="16" t="s">
        <v>98</v>
      </c>
      <c r="N616" s="16" t="s">
        <v>3644</v>
      </c>
      <c r="O616" s="16" t="s">
        <v>3638</v>
      </c>
      <c r="P616" s="16" t="s">
        <v>3639</v>
      </c>
      <c r="Q616" s="16" t="s">
        <v>100</v>
      </c>
    </row>
    <row r="617" customFormat="false" ht="15" hidden="false" customHeight="false" outlineLevel="0" collapsed="false">
      <c r="A617" s="16" t="n">
        <v>43202</v>
      </c>
      <c r="B617" s="16" t="s">
        <v>3653</v>
      </c>
      <c r="C617" s="16" t="s">
        <v>3654</v>
      </c>
      <c r="D617" s="16" t="s">
        <v>23</v>
      </c>
      <c r="E617" s="16" t="s">
        <v>94</v>
      </c>
      <c r="F617" s="16" t="s">
        <v>73</v>
      </c>
      <c r="G617" s="16" t="s">
        <v>941</v>
      </c>
      <c r="H617" s="16" t="s">
        <v>942</v>
      </c>
      <c r="I617" s="16" t="s">
        <v>37</v>
      </c>
      <c r="J617" s="16" t="s">
        <v>3655</v>
      </c>
      <c r="K617" s="16" t="n">
        <v>54.5303764343262</v>
      </c>
      <c r="L617" s="16" t="n">
        <v>-1.56371736526489</v>
      </c>
      <c r="M617" s="16" t="s">
        <v>98</v>
      </c>
      <c r="N617" s="16" t="s">
        <v>3656</v>
      </c>
      <c r="O617" s="16" t="s">
        <v>3638</v>
      </c>
      <c r="P617" s="16" t="s">
        <v>3639</v>
      </c>
      <c r="Q617" s="16" t="s">
        <v>100</v>
      </c>
    </row>
    <row r="618" customFormat="false" ht="15" hidden="false" customHeight="false" outlineLevel="0" collapsed="false">
      <c r="A618" s="16" t="n">
        <v>43208</v>
      </c>
      <c r="B618" s="16" t="s">
        <v>3657</v>
      </c>
      <c r="C618" s="16" t="s">
        <v>3658</v>
      </c>
      <c r="D618" s="16" t="s">
        <v>23</v>
      </c>
      <c r="E618" s="16" t="s">
        <v>94</v>
      </c>
      <c r="F618" s="16" t="s">
        <v>3659</v>
      </c>
      <c r="G618" s="16" t="s">
        <v>620</v>
      </c>
      <c r="H618" s="16" t="s">
        <v>620</v>
      </c>
      <c r="I618" s="16" t="s">
        <v>29</v>
      </c>
      <c r="J618" s="16" t="s">
        <v>3660</v>
      </c>
      <c r="K618" s="16" t="n">
        <v>51.7979774475098</v>
      </c>
      <c r="L618" s="16" t="n">
        <v>-0.801997542381287</v>
      </c>
      <c r="M618" s="16" t="s">
        <v>98</v>
      </c>
      <c r="N618" s="16" t="s">
        <v>3661</v>
      </c>
      <c r="O618" s="16"/>
      <c r="P618" s="16" t="s">
        <v>3662</v>
      </c>
      <c r="Q618" s="16" t="s">
        <v>100</v>
      </c>
    </row>
    <row r="619" customFormat="false" ht="15" hidden="false" customHeight="false" outlineLevel="0" collapsed="false">
      <c r="A619" s="16" t="n">
        <v>43209</v>
      </c>
      <c r="B619" s="16" t="s">
        <v>3663</v>
      </c>
      <c r="C619" s="16" t="s">
        <v>3664</v>
      </c>
      <c r="D619" s="16" t="s">
        <v>23</v>
      </c>
      <c r="E619" s="16" t="s">
        <v>94</v>
      </c>
      <c r="F619" s="16" t="s">
        <v>3659</v>
      </c>
      <c r="G619" s="16" t="s">
        <v>742</v>
      </c>
      <c r="H619" s="16" t="s">
        <v>620</v>
      </c>
      <c r="I619" s="16" t="s">
        <v>29</v>
      </c>
      <c r="J619" s="16" t="s">
        <v>3665</v>
      </c>
      <c r="K619" s="16" t="n">
        <v>51.6264419555664</v>
      </c>
      <c r="L619" s="16" t="n">
        <v>-0.753413498401642</v>
      </c>
      <c r="M619" s="16" t="s">
        <v>98</v>
      </c>
      <c r="N619" s="16" t="s">
        <v>3666</v>
      </c>
      <c r="O619" s="16"/>
      <c r="P619" s="16" t="s">
        <v>3667</v>
      </c>
      <c r="Q619" s="16" t="s">
        <v>100</v>
      </c>
    </row>
    <row r="620" customFormat="false" ht="15" hidden="false" customHeight="false" outlineLevel="0" collapsed="false">
      <c r="A620" s="16" t="n">
        <v>43210</v>
      </c>
      <c r="B620" s="16" t="s">
        <v>3668</v>
      </c>
      <c r="C620" s="16" t="s">
        <v>3669</v>
      </c>
      <c r="D620" s="16" t="s">
        <v>23</v>
      </c>
      <c r="E620" s="16" t="s">
        <v>94</v>
      </c>
      <c r="F620" s="16" t="s">
        <v>3659</v>
      </c>
      <c r="G620" s="16" t="s">
        <v>3670</v>
      </c>
      <c r="H620" s="16" t="s">
        <v>620</v>
      </c>
      <c r="I620" s="16" t="s">
        <v>29</v>
      </c>
      <c r="J620" s="16" t="s">
        <v>3671</v>
      </c>
      <c r="K620" s="16" t="n">
        <v>51.6630020141602</v>
      </c>
      <c r="L620" s="16" t="n">
        <v>-0.621415078639984</v>
      </c>
      <c r="M620" s="16" t="s">
        <v>98</v>
      </c>
      <c r="N620" s="16" t="s">
        <v>3672</v>
      </c>
      <c r="O620" s="16"/>
      <c r="P620" s="16" t="s">
        <v>3673</v>
      </c>
      <c r="Q620" s="16" t="s">
        <v>100</v>
      </c>
    </row>
    <row r="621" customFormat="false" ht="15" hidden="false" customHeight="false" outlineLevel="0" collapsed="false">
      <c r="A621" s="16" t="n">
        <v>43211</v>
      </c>
      <c r="B621" s="16" t="s">
        <v>3674</v>
      </c>
      <c r="C621" s="16" t="s">
        <v>3675</v>
      </c>
      <c r="D621" s="16" t="s">
        <v>23</v>
      </c>
      <c r="E621" s="16" t="s">
        <v>94</v>
      </c>
      <c r="F621" s="16" t="s">
        <v>3659</v>
      </c>
      <c r="G621" s="16" t="s">
        <v>3676</v>
      </c>
      <c r="H621" s="16" t="s">
        <v>2433</v>
      </c>
      <c r="I621" s="16" t="s">
        <v>38</v>
      </c>
      <c r="J621" s="16" t="s">
        <v>3677</v>
      </c>
      <c r="K621" s="16" t="n">
        <v>52.0015830993652</v>
      </c>
      <c r="L621" s="16" t="n">
        <v>-0.985668003559112</v>
      </c>
      <c r="M621" s="16" t="s">
        <v>98</v>
      </c>
      <c r="N621" s="16" t="s">
        <v>3678</v>
      </c>
      <c r="O621" s="16"/>
      <c r="P621" s="16" t="s">
        <v>3667</v>
      </c>
      <c r="Q621" s="16" t="s">
        <v>100</v>
      </c>
    </row>
    <row r="622" customFormat="false" ht="15" hidden="false" customHeight="false" outlineLevel="0" collapsed="false">
      <c r="A622" s="16" t="n">
        <v>43212</v>
      </c>
      <c r="B622" s="16" t="s">
        <v>3679</v>
      </c>
      <c r="C622" s="16" t="s">
        <v>3680</v>
      </c>
      <c r="D622" s="16" t="s">
        <v>23</v>
      </c>
      <c r="E622" s="16" t="s">
        <v>94</v>
      </c>
      <c r="F622" s="16" t="s">
        <v>3659</v>
      </c>
      <c r="G622" s="16" t="s">
        <v>3681</v>
      </c>
      <c r="H622" s="16" t="s">
        <v>2433</v>
      </c>
      <c r="I622" s="16" t="s">
        <v>38</v>
      </c>
      <c r="J622" s="16" t="s">
        <v>3682</v>
      </c>
      <c r="K622" s="16" t="n">
        <v>51.7453155517578</v>
      </c>
      <c r="L622" s="16" t="n">
        <v>-0.969993710517883</v>
      </c>
      <c r="M622" s="16" t="s">
        <v>98</v>
      </c>
      <c r="N622" s="16" t="s">
        <v>3683</v>
      </c>
      <c r="O622" s="16"/>
      <c r="P622" s="16" t="s">
        <v>3667</v>
      </c>
      <c r="Q622" s="16" t="s">
        <v>100</v>
      </c>
    </row>
    <row r="623" customFormat="false" ht="15" hidden="false" customHeight="false" outlineLevel="0" collapsed="false">
      <c r="A623" s="16" t="n">
        <v>43213</v>
      </c>
      <c r="B623" s="16" t="s">
        <v>3684</v>
      </c>
      <c r="C623" s="16" t="s">
        <v>3685</v>
      </c>
      <c r="D623" s="16" t="s">
        <v>23</v>
      </c>
      <c r="E623" s="16" t="s">
        <v>94</v>
      </c>
      <c r="F623" s="16" t="s">
        <v>3659</v>
      </c>
      <c r="G623" s="16" t="s">
        <v>3686</v>
      </c>
      <c r="H623" s="16" t="s">
        <v>595</v>
      </c>
      <c r="I623" s="16" t="s">
        <v>33</v>
      </c>
      <c r="J623" s="16" t="s">
        <v>3687</v>
      </c>
      <c r="K623" s="16" t="n">
        <v>51.6074104309082</v>
      </c>
      <c r="L623" s="16" t="n">
        <v>-0.56179690361023</v>
      </c>
      <c r="M623" s="16" t="s">
        <v>98</v>
      </c>
      <c r="N623" s="16" t="s">
        <v>3688</v>
      </c>
      <c r="O623" s="16" t="s">
        <v>3689</v>
      </c>
      <c r="P623" s="16" t="s">
        <v>3667</v>
      </c>
      <c r="Q623" s="16" t="s">
        <v>100</v>
      </c>
    </row>
    <row r="624" customFormat="false" ht="15" hidden="false" customHeight="false" outlineLevel="0" collapsed="false">
      <c r="A624" s="16" t="n">
        <v>43214</v>
      </c>
      <c r="B624" s="16" t="s">
        <v>3690</v>
      </c>
      <c r="C624" s="16" t="s">
        <v>3691</v>
      </c>
      <c r="D624" s="16" t="s">
        <v>23</v>
      </c>
      <c r="E624" s="16" t="s">
        <v>94</v>
      </c>
      <c r="F624" s="16" t="s">
        <v>3659</v>
      </c>
      <c r="G624" s="16" t="s">
        <v>3692</v>
      </c>
      <c r="H624" s="16" t="s">
        <v>510</v>
      </c>
      <c r="I624" s="16" t="s">
        <v>29</v>
      </c>
      <c r="J624" s="16" t="s">
        <v>3693</v>
      </c>
      <c r="K624" s="16" t="n">
        <v>51.5735702514649</v>
      </c>
      <c r="L624" s="16" t="n">
        <v>-0.770415902137756</v>
      </c>
      <c r="M624" s="16" t="s">
        <v>98</v>
      </c>
      <c r="N624" s="16" t="s">
        <v>3694</v>
      </c>
      <c r="O624" s="16"/>
      <c r="P624" s="16" t="s">
        <v>3667</v>
      </c>
      <c r="Q624" s="16" t="s">
        <v>100</v>
      </c>
    </row>
    <row r="625" customFormat="false" ht="15" hidden="false" customHeight="false" outlineLevel="0" collapsed="false">
      <c r="A625" s="16" t="n">
        <v>43223</v>
      </c>
      <c r="B625" s="16" t="s">
        <v>3695</v>
      </c>
      <c r="C625" s="16" t="s">
        <v>3696</v>
      </c>
      <c r="D625" s="16" t="s">
        <v>23</v>
      </c>
      <c r="E625" s="16" t="s">
        <v>94</v>
      </c>
      <c r="F625" s="16" t="s">
        <v>3697</v>
      </c>
      <c r="G625" s="16" t="s">
        <v>3698</v>
      </c>
      <c r="H625" s="16" t="s">
        <v>47</v>
      </c>
      <c r="I625" s="16" t="s">
        <v>31</v>
      </c>
      <c r="J625" s="16" t="s">
        <v>3699</v>
      </c>
      <c r="K625" s="16" t="n">
        <v>53.8104286193848</v>
      </c>
      <c r="L625" s="16" t="n">
        <v>-2.22786402702332</v>
      </c>
      <c r="M625" s="16" t="s">
        <v>98</v>
      </c>
      <c r="N625" s="16" t="s">
        <v>3700</v>
      </c>
      <c r="O625" s="16" t="s">
        <v>3701</v>
      </c>
      <c r="P625" s="16" t="s">
        <v>3702</v>
      </c>
      <c r="Q625" s="16" t="s">
        <v>100</v>
      </c>
    </row>
    <row r="626" customFormat="false" ht="15" hidden="false" customHeight="false" outlineLevel="0" collapsed="false">
      <c r="A626" s="16" t="n">
        <v>43224</v>
      </c>
      <c r="B626" s="16" t="s">
        <v>3703</v>
      </c>
      <c r="C626" s="16" t="s">
        <v>3704</v>
      </c>
      <c r="D626" s="16" t="s">
        <v>23</v>
      </c>
      <c r="E626" s="16" t="s">
        <v>94</v>
      </c>
      <c r="F626" s="16" t="s">
        <v>3697</v>
      </c>
      <c r="G626" s="16" t="s">
        <v>580</v>
      </c>
      <c r="H626" s="16" t="s">
        <v>47</v>
      </c>
      <c r="I626" s="16" t="s">
        <v>31</v>
      </c>
      <c r="J626" s="16" t="s">
        <v>3705</v>
      </c>
      <c r="K626" s="16" t="n">
        <v>53.7355651855469</v>
      </c>
      <c r="L626" s="16" t="n">
        <v>-2.46270132064819</v>
      </c>
      <c r="M626" s="16" t="s">
        <v>98</v>
      </c>
      <c r="N626" s="16" t="s">
        <v>3706</v>
      </c>
      <c r="O626" s="16" t="s">
        <v>3701</v>
      </c>
      <c r="P626" s="16" t="s">
        <v>3702</v>
      </c>
      <c r="Q626" s="16" t="s">
        <v>100</v>
      </c>
    </row>
    <row r="627" customFormat="false" ht="15" hidden="false" customHeight="false" outlineLevel="0" collapsed="false">
      <c r="A627" s="16" t="n">
        <v>43226</v>
      </c>
      <c r="B627" s="16" t="s">
        <v>3707</v>
      </c>
      <c r="C627" s="16" t="s">
        <v>3708</v>
      </c>
      <c r="D627" s="16" t="s">
        <v>23</v>
      </c>
      <c r="E627" s="16" t="s">
        <v>94</v>
      </c>
      <c r="F627" s="16" t="s">
        <v>3697</v>
      </c>
      <c r="G627" s="16" t="s">
        <v>3709</v>
      </c>
      <c r="H627" s="16" t="s">
        <v>47</v>
      </c>
      <c r="I627" s="16" t="s">
        <v>31</v>
      </c>
      <c r="J627" s="16" t="s">
        <v>3710</v>
      </c>
      <c r="K627" s="16" t="n">
        <v>53.8368072509766</v>
      </c>
      <c r="L627" s="16" t="n">
        <v>-2.21332812309265</v>
      </c>
      <c r="M627" s="16" t="s">
        <v>98</v>
      </c>
      <c r="N627" s="16" t="s">
        <v>3700</v>
      </c>
      <c r="O627" s="16" t="s">
        <v>3701</v>
      </c>
      <c r="P627" s="16" t="s">
        <v>3702</v>
      </c>
      <c r="Q627" s="16" t="s">
        <v>100</v>
      </c>
    </row>
    <row r="628" customFormat="false" ht="15" hidden="false" customHeight="false" outlineLevel="0" collapsed="false">
      <c r="A628" s="16" t="n">
        <v>43227</v>
      </c>
      <c r="B628" s="16" t="s">
        <v>3711</v>
      </c>
      <c r="C628" s="16" t="s">
        <v>3712</v>
      </c>
      <c r="D628" s="16" t="s">
        <v>23</v>
      </c>
      <c r="E628" s="16" t="s">
        <v>94</v>
      </c>
      <c r="F628" s="16" t="s">
        <v>3697</v>
      </c>
      <c r="G628" s="16" t="s">
        <v>3713</v>
      </c>
      <c r="H628" s="16" t="s">
        <v>47</v>
      </c>
      <c r="I628" s="16" t="s">
        <v>31</v>
      </c>
      <c r="J628" s="16" t="s">
        <v>3714</v>
      </c>
      <c r="K628" s="16" t="n">
        <v>53.7595863342285</v>
      </c>
      <c r="L628" s="16" t="n">
        <v>-2.36690640449524</v>
      </c>
      <c r="M628" s="16" t="s">
        <v>98</v>
      </c>
      <c r="N628" s="16" t="s">
        <v>3715</v>
      </c>
      <c r="O628" s="16"/>
      <c r="P628" s="16" t="s">
        <v>3702</v>
      </c>
      <c r="Q628" s="16" t="s">
        <v>100</v>
      </c>
    </row>
    <row r="629" customFormat="false" ht="15" hidden="false" customHeight="false" outlineLevel="0" collapsed="false">
      <c r="A629" s="16" t="n">
        <v>43228</v>
      </c>
      <c r="B629" s="16" t="s">
        <v>3716</v>
      </c>
      <c r="C629" s="16" t="s">
        <v>3717</v>
      </c>
      <c r="D629" s="16" t="s">
        <v>23</v>
      </c>
      <c r="E629" s="16" t="s">
        <v>94</v>
      </c>
      <c r="F629" s="16" t="s">
        <v>3697</v>
      </c>
      <c r="G629" s="16" t="s">
        <v>3718</v>
      </c>
      <c r="H629" s="16" t="s">
        <v>47</v>
      </c>
      <c r="I629" s="16" t="s">
        <v>31</v>
      </c>
      <c r="J629" s="16" t="s">
        <v>3719</v>
      </c>
      <c r="K629" s="16" t="n">
        <v>53.8852882385254</v>
      </c>
      <c r="L629" s="16" t="n">
        <v>-2.3659987449646</v>
      </c>
      <c r="M629" s="16" t="s">
        <v>98</v>
      </c>
      <c r="N629" s="16"/>
      <c r="O629" s="16"/>
      <c r="P629" s="16"/>
      <c r="Q629" s="16" t="s">
        <v>100</v>
      </c>
    </row>
    <row r="630" customFormat="false" ht="15" hidden="false" customHeight="false" outlineLevel="0" collapsed="false">
      <c r="A630" s="16" t="n">
        <v>43293</v>
      </c>
      <c r="B630" s="16" t="s">
        <v>3720</v>
      </c>
      <c r="C630" s="16" t="s">
        <v>3721</v>
      </c>
      <c r="D630" s="16" t="s">
        <v>23</v>
      </c>
      <c r="E630" s="16" t="s">
        <v>94</v>
      </c>
      <c r="F630" s="16" t="s">
        <v>67</v>
      </c>
      <c r="G630" s="16" t="s">
        <v>706</v>
      </c>
      <c r="H630" s="16" t="s">
        <v>34</v>
      </c>
      <c r="I630" s="16" t="s">
        <v>34</v>
      </c>
      <c r="J630" s="16" t="s">
        <v>3722</v>
      </c>
      <c r="K630" s="16" t="n">
        <v>52.5174560546875</v>
      </c>
      <c r="L630" s="16" t="n">
        <v>-1.83464121818543</v>
      </c>
      <c r="M630" s="16" t="s">
        <v>98</v>
      </c>
      <c r="N630" s="16" t="s">
        <v>3723</v>
      </c>
      <c r="O630" s="16"/>
      <c r="P630" s="16" t="s">
        <v>3724</v>
      </c>
      <c r="Q630" s="16" t="s">
        <v>100</v>
      </c>
    </row>
    <row r="631" customFormat="false" ht="15" hidden="false" customHeight="false" outlineLevel="0" collapsed="false">
      <c r="A631" s="16" t="n">
        <v>43294</v>
      </c>
      <c r="B631" s="16" t="s">
        <v>3725</v>
      </c>
      <c r="C631" s="16" t="s">
        <v>3726</v>
      </c>
      <c r="D631" s="16" t="s">
        <v>23</v>
      </c>
      <c r="E631" s="16" t="s">
        <v>94</v>
      </c>
      <c r="F631" s="16" t="s">
        <v>67</v>
      </c>
      <c r="G631" s="16" t="s">
        <v>706</v>
      </c>
      <c r="H631" s="16" t="s">
        <v>34</v>
      </c>
      <c r="I631" s="16" t="s">
        <v>34</v>
      </c>
      <c r="J631" s="16" t="s">
        <v>3727</v>
      </c>
      <c r="K631" s="16" t="n">
        <v>52.4938621520996</v>
      </c>
      <c r="L631" s="16" t="n">
        <v>-1.9323958158493</v>
      </c>
      <c r="M631" s="16" t="s">
        <v>98</v>
      </c>
      <c r="N631" s="16" t="s">
        <v>3728</v>
      </c>
      <c r="O631" s="16"/>
      <c r="P631" s="16" t="s">
        <v>3729</v>
      </c>
      <c r="Q631" s="16" t="s">
        <v>100</v>
      </c>
    </row>
    <row r="632" customFormat="false" ht="15" hidden="false" customHeight="false" outlineLevel="0" collapsed="false">
      <c r="A632" s="16" t="n">
        <v>43299</v>
      </c>
      <c r="B632" s="16" t="s">
        <v>3730</v>
      </c>
      <c r="C632" s="16" t="s">
        <v>3731</v>
      </c>
      <c r="D632" s="16" t="s">
        <v>23</v>
      </c>
      <c r="E632" s="16" t="s">
        <v>94</v>
      </c>
      <c r="F632" s="16" t="s">
        <v>67</v>
      </c>
      <c r="G632" s="16" t="s">
        <v>442</v>
      </c>
      <c r="H632" s="16" t="s">
        <v>34</v>
      </c>
      <c r="I632" s="16" t="s">
        <v>34</v>
      </c>
      <c r="J632" s="16" t="s">
        <v>3732</v>
      </c>
      <c r="K632" s="16" t="n">
        <v>52.3798027038574</v>
      </c>
      <c r="L632" s="16" t="n">
        <v>-1.74474799633026</v>
      </c>
      <c r="M632" s="16" t="s">
        <v>98</v>
      </c>
      <c r="N632" s="16" t="s">
        <v>3733</v>
      </c>
      <c r="O632" s="16"/>
      <c r="P632" s="16" t="s">
        <v>3724</v>
      </c>
      <c r="Q632" s="16" t="s">
        <v>100</v>
      </c>
    </row>
    <row r="633" customFormat="false" ht="15" hidden="false" customHeight="false" outlineLevel="0" collapsed="false">
      <c r="A633" s="16" t="n">
        <v>43300</v>
      </c>
      <c r="B633" s="16" t="s">
        <v>3734</v>
      </c>
      <c r="C633" s="16" t="s">
        <v>3735</v>
      </c>
      <c r="D633" s="16" t="s">
        <v>23</v>
      </c>
      <c r="E633" s="16" t="s">
        <v>94</v>
      </c>
      <c r="F633" s="16" t="s">
        <v>67</v>
      </c>
      <c r="G633" s="16" t="s">
        <v>706</v>
      </c>
      <c r="H633" s="16" t="s">
        <v>34</v>
      </c>
      <c r="I633" s="16" t="s">
        <v>34</v>
      </c>
      <c r="J633" s="16" t="s">
        <v>3736</v>
      </c>
      <c r="K633" s="16" t="n">
        <v>52.5238838195801</v>
      </c>
      <c r="L633" s="16" t="n">
        <v>-1.85731482505798</v>
      </c>
      <c r="M633" s="16" t="s">
        <v>98</v>
      </c>
      <c r="N633" s="16" t="s">
        <v>3737</v>
      </c>
      <c r="O633" s="16"/>
      <c r="P633" s="16" t="s">
        <v>3724</v>
      </c>
      <c r="Q633" s="16" t="s">
        <v>100</v>
      </c>
    </row>
    <row r="634" customFormat="false" ht="15" hidden="false" customHeight="false" outlineLevel="0" collapsed="false">
      <c r="A634" s="16" t="n">
        <v>43302</v>
      </c>
      <c r="B634" s="16" t="s">
        <v>3738</v>
      </c>
      <c r="C634" s="16" t="s">
        <v>3739</v>
      </c>
      <c r="D634" s="16" t="s">
        <v>23</v>
      </c>
      <c r="E634" s="16" t="s">
        <v>94</v>
      </c>
      <c r="F634" s="16" t="s">
        <v>67</v>
      </c>
      <c r="G634" s="16" t="s">
        <v>706</v>
      </c>
      <c r="H634" s="16" t="s">
        <v>34</v>
      </c>
      <c r="I634" s="16" t="s">
        <v>34</v>
      </c>
      <c r="J634" s="16" t="s">
        <v>3740</v>
      </c>
      <c r="K634" s="16" t="n">
        <v>52.441333770752</v>
      </c>
      <c r="L634" s="16" t="n">
        <v>-1.88367891311646</v>
      </c>
      <c r="M634" s="16" t="s">
        <v>98</v>
      </c>
      <c r="N634" s="16" t="s">
        <v>3741</v>
      </c>
      <c r="O634" s="16"/>
      <c r="P634" s="16" t="s">
        <v>3724</v>
      </c>
      <c r="Q634" s="16" t="s">
        <v>100</v>
      </c>
    </row>
    <row r="635" customFormat="false" ht="15" hidden="false" customHeight="false" outlineLevel="0" collapsed="false">
      <c r="A635" s="16" t="n">
        <v>43304</v>
      </c>
      <c r="B635" s="16" t="s">
        <v>3742</v>
      </c>
      <c r="C635" s="16" t="s">
        <v>3743</v>
      </c>
      <c r="D635" s="16" t="s">
        <v>23</v>
      </c>
      <c r="E635" s="16" t="s">
        <v>94</v>
      </c>
      <c r="F635" s="16" t="s">
        <v>67</v>
      </c>
      <c r="G635" s="16" t="s">
        <v>442</v>
      </c>
      <c r="H635" s="16" t="s">
        <v>34</v>
      </c>
      <c r="I635" s="16" t="s">
        <v>34</v>
      </c>
      <c r="J635" s="16" t="s">
        <v>3744</v>
      </c>
      <c r="K635" s="16" t="n">
        <v>52.4383392333984</v>
      </c>
      <c r="L635" s="16" t="n">
        <v>-1.80804669857025</v>
      </c>
      <c r="M635" s="16" t="s">
        <v>98</v>
      </c>
      <c r="N635" s="16" t="s">
        <v>3745</v>
      </c>
      <c r="O635" s="16"/>
      <c r="P635" s="16" t="s">
        <v>3729</v>
      </c>
      <c r="Q635" s="16" t="s">
        <v>100</v>
      </c>
    </row>
    <row r="636" customFormat="false" ht="15" hidden="false" customHeight="false" outlineLevel="0" collapsed="false">
      <c r="A636" s="16" t="n">
        <v>43306</v>
      </c>
      <c r="B636" s="16" t="s">
        <v>3746</v>
      </c>
      <c r="C636" s="16" t="s">
        <v>3747</v>
      </c>
      <c r="D636" s="16" t="s">
        <v>23</v>
      </c>
      <c r="E636" s="16" t="s">
        <v>94</v>
      </c>
      <c r="F636" s="16" t="s">
        <v>67</v>
      </c>
      <c r="G636" s="16" t="s">
        <v>706</v>
      </c>
      <c r="H636" s="16" t="s">
        <v>34</v>
      </c>
      <c r="I636" s="16" t="s">
        <v>34</v>
      </c>
      <c r="J636" s="16" t="s">
        <v>3748</v>
      </c>
      <c r="K636" s="16" t="n">
        <v>52.4039268493652</v>
      </c>
      <c r="L636" s="16" t="n">
        <v>-1.99362087249756</v>
      </c>
      <c r="M636" s="16" t="s">
        <v>98</v>
      </c>
      <c r="N636" s="16" t="s">
        <v>3749</v>
      </c>
      <c r="O636" s="16"/>
      <c r="P636" s="16" t="s">
        <v>3729</v>
      </c>
      <c r="Q636" s="16" t="s">
        <v>100</v>
      </c>
    </row>
    <row r="637" customFormat="false" ht="15" hidden="false" customHeight="false" outlineLevel="0" collapsed="false">
      <c r="A637" s="16" t="n">
        <v>43319</v>
      </c>
      <c r="B637" s="16" t="s">
        <v>3750</v>
      </c>
      <c r="C637" s="16" t="s">
        <v>3751</v>
      </c>
      <c r="D637" s="16" t="s">
        <v>23</v>
      </c>
      <c r="E637" s="16" t="s">
        <v>94</v>
      </c>
      <c r="F637" s="16" t="s">
        <v>67</v>
      </c>
      <c r="G637" s="16" t="s">
        <v>706</v>
      </c>
      <c r="H637" s="16" t="s">
        <v>34</v>
      </c>
      <c r="I637" s="16" t="s">
        <v>34</v>
      </c>
      <c r="J637" s="16" t="s">
        <v>3727</v>
      </c>
      <c r="K637" s="16" t="n">
        <v>52.4938621520996</v>
      </c>
      <c r="L637" s="16" t="n">
        <v>-1.9323958158493</v>
      </c>
      <c r="M637" s="16" t="s">
        <v>98</v>
      </c>
      <c r="N637" s="16" t="s">
        <v>3752</v>
      </c>
      <c r="O637" s="16"/>
      <c r="P637" s="16" t="s">
        <v>3753</v>
      </c>
      <c r="Q637" s="16" t="s">
        <v>100</v>
      </c>
    </row>
    <row r="638" customFormat="false" ht="15" hidden="false" customHeight="false" outlineLevel="0" collapsed="false">
      <c r="A638" s="16" t="n">
        <v>43322</v>
      </c>
      <c r="B638" s="16" t="s">
        <v>3754</v>
      </c>
      <c r="C638" s="16" t="s">
        <v>3755</v>
      </c>
      <c r="D638" s="16" t="s">
        <v>23</v>
      </c>
      <c r="E638" s="16" t="s">
        <v>94</v>
      </c>
      <c r="F638" s="16" t="s">
        <v>67</v>
      </c>
      <c r="G638" s="16" t="s">
        <v>706</v>
      </c>
      <c r="H638" s="16" t="s">
        <v>34</v>
      </c>
      <c r="I638" s="16" t="s">
        <v>34</v>
      </c>
      <c r="J638" s="16" t="s">
        <v>3756</v>
      </c>
      <c r="K638" s="16" t="n">
        <v>52.4001884460449</v>
      </c>
      <c r="L638" s="16" t="n">
        <v>-2.00831890106201</v>
      </c>
      <c r="M638" s="16" t="s">
        <v>98</v>
      </c>
      <c r="N638" s="16" t="s">
        <v>3757</v>
      </c>
      <c r="O638" s="16"/>
      <c r="P638" s="16" t="s">
        <v>3753</v>
      </c>
      <c r="Q638" s="16" t="s">
        <v>100</v>
      </c>
    </row>
    <row r="639" customFormat="false" ht="15" hidden="false" customHeight="false" outlineLevel="0" collapsed="false">
      <c r="A639" s="16" t="n">
        <v>43323</v>
      </c>
      <c r="B639" s="16" t="s">
        <v>3758</v>
      </c>
      <c r="C639" s="16" t="s">
        <v>3759</v>
      </c>
      <c r="D639" s="16" t="s">
        <v>23</v>
      </c>
      <c r="E639" s="16" t="s">
        <v>94</v>
      </c>
      <c r="F639" s="16" t="s">
        <v>67</v>
      </c>
      <c r="G639" s="16" t="s">
        <v>706</v>
      </c>
      <c r="H639" s="16" t="s">
        <v>34</v>
      </c>
      <c r="I639" s="16" t="s">
        <v>34</v>
      </c>
      <c r="J639" s="16" t="s">
        <v>3736</v>
      </c>
      <c r="K639" s="16" t="n">
        <v>52.5238838195801</v>
      </c>
      <c r="L639" s="16" t="n">
        <v>-1.85731482505798</v>
      </c>
      <c r="M639" s="16" t="s">
        <v>98</v>
      </c>
      <c r="N639" s="16" t="s">
        <v>3760</v>
      </c>
      <c r="O639" s="16"/>
      <c r="P639" s="16" t="s">
        <v>3724</v>
      </c>
      <c r="Q639" s="16" t="s">
        <v>100</v>
      </c>
    </row>
    <row r="640" customFormat="false" ht="15" hidden="false" customHeight="false" outlineLevel="0" collapsed="false">
      <c r="A640" s="16" t="n">
        <v>43327</v>
      </c>
      <c r="B640" s="16" t="s">
        <v>3761</v>
      </c>
      <c r="C640" s="16" t="s">
        <v>3762</v>
      </c>
      <c r="D640" s="16" t="s">
        <v>23</v>
      </c>
      <c r="E640" s="16" t="s">
        <v>94</v>
      </c>
      <c r="F640" s="16" t="s">
        <v>67</v>
      </c>
      <c r="G640" s="16" t="s">
        <v>442</v>
      </c>
      <c r="H640" s="16" t="s">
        <v>34</v>
      </c>
      <c r="I640" s="16" t="s">
        <v>34</v>
      </c>
      <c r="J640" s="16" t="s">
        <v>3732</v>
      </c>
      <c r="K640" s="16" t="n">
        <v>52.3798027038574</v>
      </c>
      <c r="L640" s="16" t="n">
        <v>-1.74474799633026</v>
      </c>
      <c r="M640" s="16" t="s">
        <v>98</v>
      </c>
      <c r="N640" s="16" t="s">
        <v>3763</v>
      </c>
      <c r="O640" s="16"/>
      <c r="P640" s="16" t="s">
        <v>3724</v>
      </c>
      <c r="Q640" s="16" t="s">
        <v>100</v>
      </c>
    </row>
    <row r="641" customFormat="false" ht="15" hidden="false" customHeight="false" outlineLevel="0" collapsed="false">
      <c r="A641" s="16" t="n">
        <v>43332</v>
      </c>
      <c r="B641" s="16" t="s">
        <v>3764</v>
      </c>
      <c r="C641" s="16" t="s">
        <v>3765</v>
      </c>
      <c r="D641" s="16" t="s">
        <v>23</v>
      </c>
      <c r="E641" s="16" t="s">
        <v>94</v>
      </c>
      <c r="F641" s="16" t="s">
        <v>67</v>
      </c>
      <c r="G641" s="16" t="s">
        <v>706</v>
      </c>
      <c r="H641" s="16" t="s">
        <v>34</v>
      </c>
      <c r="I641" s="16" t="s">
        <v>34</v>
      </c>
      <c r="J641" s="16" t="s">
        <v>3766</v>
      </c>
      <c r="K641" s="16" t="n">
        <v>52.4489669799805</v>
      </c>
      <c r="L641" s="16" t="n">
        <v>-1.86745893955231</v>
      </c>
      <c r="M641" s="16" t="s">
        <v>98</v>
      </c>
      <c r="N641" s="16" t="s">
        <v>3767</v>
      </c>
      <c r="O641" s="16"/>
      <c r="P641" s="16" t="s">
        <v>3753</v>
      </c>
      <c r="Q641" s="16" t="s">
        <v>100</v>
      </c>
    </row>
    <row r="642" customFormat="false" ht="15" hidden="false" customHeight="false" outlineLevel="0" collapsed="false">
      <c r="A642" s="16" t="n">
        <v>43333</v>
      </c>
      <c r="B642" s="16" t="s">
        <v>3768</v>
      </c>
      <c r="C642" s="16" t="s">
        <v>3769</v>
      </c>
      <c r="D642" s="16" t="s">
        <v>23</v>
      </c>
      <c r="E642" s="16" t="s">
        <v>94</v>
      </c>
      <c r="F642" s="16" t="s">
        <v>67</v>
      </c>
      <c r="G642" s="16" t="s">
        <v>706</v>
      </c>
      <c r="H642" s="16" t="s">
        <v>34</v>
      </c>
      <c r="I642" s="16" t="s">
        <v>34</v>
      </c>
      <c r="J642" s="16" t="s">
        <v>3770</v>
      </c>
      <c r="K642" s="16" t="n">
        <v>52.4492340087891</v>
      </c>
      <c r="L642" s="16" t="n">
        <v>-1.94231426715851</v>
      </c>
      <c r="M642" s="16" t="s">
        <v>98</v>
      </c>
      <c r="N642" s="16" t="s">
        <v>3771</v>
      </c>
      <c r="O642" s="16"/>
      <c r="P642" s="16" t="s">
        <v>3753</v>
      </c>
      <c r="Q642" s="16" t="s">
        <v>100</v>
      </c>
    </row>
    <row r="643" customFormat="false" ht="15" hidden="false" customHeight="false" outlineLevel="0" collapsed="false">
      <c r="A643" s="16" t="n">
        <v>43334</v>
      </c>
      <c r="B643" s="16" t="s">
        <v>3772</v>
      </c>
      <c r="C643" s="16" t="s">
        <v>3773</v>
      </c>
      <c r="D643" s="16" t="s">
        <v>23</v>
      </c>
      <c r="E643" s="16" t="s">
        <v>94</v>
      </c>
      <c r="F643" s="16" t="s">
        <v>67</v>
      </c>
      <c r="G643" s="16" t="s">
        <v>706</v>
      </c>
      <c r="H643" s="16" t="s">
        <v>34</v>
      </c>
      <c r="I643" s="16" t="s">
        <v>34</v>
      </c>
      <c r="J643" s="16" t="s">
        <v>3774</v>
      </c>
      <c r="K643" s="16" t="n">
        <v>52.4479179382324</v>
      </c>
      <c r="L643" s="16" t="n">
        <v>-1.94076430797577</v>
      </c>
      <c r="M643" s="16" t="s">
        <v>98</v>
      </c>
      <c r="N643" s="16" t="s">
        <v>3775</v>
      </c>
      <c r="O643" s="16"/>
      <c r="P643" s="16" t="s">
        <v>3753</v>
      </c>
      <c r="Q643" s="16" t="s">
        <v>100</v>
      </c>
    </row>
    <row r="644" customFormat="false" ht="15" hidden="false" customHeight="false" outlineLevel="0" collapsed="false">
      <c r="A644" s="16" t="n">
        <v>43335</v>
      </c>
      <c r="B644" s="16" t="s">
        <v>3776</v>
      </c>
      <c r="C644" s="16" t="s">
        <v>3777</v>
      </c>
      <c r="D644" s="16" t="s">
        <v>23</v>
      </c>
      <c r="E644" s="16" t="s">
        <v>94</v>
      </c>
      <c r="F644" s="16" t="s">
        <v>67</v>
      </c>
      <c r="G644" s="16" t="s">
        <v>706</v>
      </c>
      <c r="H644" s="16" t="s">
        <v>34</v>
      </c>
      <c r="I644" s="16" t="s">
        <v>34</v>
      </c>
      <c r="J644" s="16" t="s">
        <v>3778</v>
      </c>
      <c r="K644" s="16" t="n">
        <v>52.4459266662598</v>
      </c>
      <c r="L644" s="16" t="n">
        <v>-1.8928769826889</v>
      </c>
      <c r="M644" s="16" t="s">
        <v>98</v>
      </c>
      <c r="N644" s="16" t="s">
        <v>3779</v>
      </c>
      <c r="O644" s="16"/>
      <c r="P644" s="16" t="s">
        <v>3753</v>
      </c>
      <c r="Q644" s="16" t="s">
        <v>100</v>
      </c>
    </row>
    <row r="645" customFormat="false" ht="15" hidden="false" customHeight="false" outlineLevel="0" collapsed="false">
      <c r="A645" s="16" t="n">
        <v>43337</v>
      </c>
      <c r="B645" s="16" t="s">
        <v>3780</v>
      </c>
      <c r="C645" s="16" t="s">
        <v>3781</v>
      </c>
      <c r="D645" s="16" t="s">
        <v>23</v>
      </c>
      <c r="E645" s="16" t="s">
        <v>94</v>
      </c>
      <c r="F645" s="16" t="s">
        <v>3782</v>
      </c>
      <c r="G645" s="16" t="s">
        <v>116</v>
      </c>
      <c r="H645" s="16" t="s">
        <v>117</v>
      </c>
      <c r="I645" s="16" t="s">
        <v>31</v>
      </c>
      <c r="J645" s="16" t="s">
        <v>3783</v>
      </c>
      <c r="K645" s="16" t="n">
        <v>53.536750793457</v>
      </c>
      <c r="L645" s="16" t="n">
        <v>-2.29145073890686</v>
      </c>
      <c r="M645" s="16" t="s">
        <v>98</v>
      </c>
      <c r="N645" s="16" t="s">
        <v>3784</v>
      </c>
      <c r="O645" s="16"/>
      <c r="P645" s="16" t="s">
        <v>3785</v>
      </c>
      <c r="Q645" s="16" t="s">
        <v>100</v>
      </c>
    </row>
    <row r="646" customFormat="false" ht="15" hidden="false" customHeight="false" outlineLevel="0" collapsed="false">
      <c r="A646" s="16" t="n">
        <v>43348</v>
      </c>
      <c r="B646" s="16" t="s">
        <v>3786</v>
      </c>
      <c r="C646" s="16" t="s">
        <v>3787</v>
      </c>
      <c r="D646" s="16" t="s">
        <v>23</v>
      </c>
      <c r="E646" s="16" t="s">
        <v>94</v>
      </c>
      <c r="F646" s="16" t="s">
        <v>3788</v>
      </c>
      <c r="G646" s="16" t="s">
        <v>296</v>
      </c>
      <c r="H646" s="16" t="s">
        <v>297</v>
      </c>
      <c r="I646" s="16" t="s">
        <v>34</v>
      </c>
      <c r="J646" s="16" t="s">
        <v>3789</v>
      </c>
      <c r="K646" s="16" t="n">
        <v>52.7092628479004</v>
      </c>
      <c r="L646" s="16" t="n">
        <v>-2.79367637634277</v>
      </c>
      <c r="M646" s="16" t="s">
        <v>98</v>
      </c>
      <c r="N646" s="16" t="s">
        <v>3790</v>
      </c>
      <c r="O646" s="16" t="s">
        <v>3791</v>
      </c>
      <c r="P646" s="16" t="s">
        <v>3792</v>
      </c>
      <c r="Q646" s="16" t="s">
        <v>100</v>
      </c>
    </row>
    <row r="647" customFormat="false" ht="15" hidden="false" customHeight="false" outlineLevel="0" collapsed="false">
      <c r="A647" s="16" t="n">
        <v>43349</v>
      </c>
      <c r="B647" s="16" t="s">
        <v>3793</v>
      </c>
      <c r="C647" s="16" t="s">
        <v>3586</v>
      </c>
      <c r="D647" s="16" t="s">
        <v>23</v>
      </c>
      <c r="E647" s="16" t="s">
        <v>94</v>
      </c>
      <c r="F647" s="16" t="s">
        <v>3788</v>
      </c>
      <c r="G647" s="16" t="s">
        <v>3794</v>
      </c>
      <c r="H647" s="16" t="s">
        <v>297</v>
      </c>
      <c r="I647" s="16" t="s">
        <v>34</v>
      </c>
      <c r="J647" s="16" t="s">
        <v>3795</v>
      </c>
      <c r="K647" s="16" t="n">
        <v>52.7121124267578</v>
      </c>
      <c r="L647" s="16" t="n">
        <v>-2.51147627830505</v>
      </c>
      <c r="M647" s="16" t="s">
        <v>98</v>
      </c>
      <c r="N647" s="16" t="s">
        <v>3796</v>
      </c>
      <c r="O647" s="16" t="s">
        <v>3791</v>
      </c>
      <c r="P647" s="16" t="s">
        <v>3792</v>
      </c>
      <c r="Q647" s="16" t="s">
        <v>100</v>
      </c>
    </row>
    <row r="648" customFormat="false" ht="15" hidden="false" customHeight="false" outlineLevel="0" collapsed="false">
      <c r="A648" s="16" t="n">
        <v>43381</v>
      </c>
      <c r="B648" s="16" t="s">
        <v>3797</v>
      </c>
      <c r="C648" s="16" t="s">
        <v>3798</v>
      </c>
      <c r="D648" s="16" t="s">
        <v>23</v>
      </c>
      <c r="E648" s="16" t="s">
        <v>94</v>
      </c>
      <c r="F648" s="16" t="s">
        <v>3799</v>
      </c>
      <c r="G648" s="16" t="s">
        <v>235</v>
      </c>
      <c r="H648" s="16" t="s">
        <v>46</v>
      </c>
      <c r="I648" s="16" t="s">
        <v>29</v>
      </c>
      <c r="J648" s="16" t="s">
        <v>3800</v>
      </c>
      <c r="K648" s="16" t="n">
        <v>51.2350921630859</v>
      </c>
      <c r="L648" s="16" t="n">
        <v>-0.584450542926788</v>
      </c>
      <c r="M648" s="16" t="s">
        <v>98</v>
      </c>
      <c r="N648" s="16" t="s">
        <v>3801</v>
      </c>
      <c r="O648" s="16"/>
      <c r="P648" s="16" t="s">
        <v>3802</v>
      </c>
      <c r="Q648" s="16" t="s">
        <v>100</v>
      </c>
    </row>
    <row r="649" customFormat="false" ht="15" hidden="false" customHeight="false" outlineLevel="0" collapsed="false">
      <c r="A649" s="16" t="n">
        <v>43566</v>
      </c>
      <c r="B649" s="16" t="s">
        <v>3803</v>
      </c>
      <c r="C649" s="16" t="s">
        <v>3804</v>
      </c>
      <c r="D649" s="16" t="s">
        <v>23</v>
      </c>
      <c r="E649" s="16" t="s">
        <v>94</v>
      </c>
      <c r="F649" s="16" t="s">
        <v>3805</v>
      </c>
      <c r="G649" s="16" t="s">
        <v>606</v>
      </c>
      <c r="H649" s="16" t="s">
        <v>45</v>
      </c>
      <c r="I649" s="16" t="s">
        <v>29</v>
      </c>
      <c r="J649" s="16" t="s">
        <v>3806</v>
      </c>
      <c r="K649" s="16" t="n">
        <v>51.27685546875</v>
      </c>
      <c r="L649" s="16" t="n">
        <v>1.10618555545807</v>
      </c>
      <c r="M649" s="16" t="s">
        <v>98</v>
      </c>
      <c r="N649" s="16" t="s">
        <v>3807</v>
      </c>
      <c r="O649" s="16"/>
      <c r="P649" s="16" t="s">
        <v>3808</v>
      </c>
      <c r="Q649" s="16" t="s">
        <v>100</v>
      </c>
    </row>
    <row r="650" customFormat="false" ht="15" hidden="false" customHeight="false" outlineLevel="0" collapsed="false">
      <c r="A650" s="16" t="n">
        <v>43621</v>
      </c>
      <c r="B650" s="16" t="s">
        <v>3809</v>
      </c>
      <c r="C650" s="16" t="s">
        <v>3810</v>
      </c>
      <c r="D650" s="16" t="s">
        <v>23</v>
      </c>
      <c r="E650" s="16" t="s">
        <v>94</v>
      </c>
      <c r="F650" s="16" t="s">
        <v>3805</v>
      </c>
      <c r="G650" s="16" t="s">
        <v>2560</v>
      </c>
      <c r="H650" s="16" t="s">
        <v>45</v>
      </c>
      <c r="I650" s="16" t="s">
        <v>29</v>
      </c>
      <c r="J650" s="16" t="s">
        <v>3811</v>
      </c>
      <c r="K650" s="16" t="n">
        <v>51.4463577270508</v>
      </c>
      <c r="L650" s="16" t="n">
        <v>0.24163544178009</v>
      </c>
      <c r="M650" s="16" t="s">
        <v>98</v>
      </c>
      <c r="N650" s="16" t="s">
        <v>3299</v>
      </c>
      <c r="O650" s="16"/>
      <c r="P650" s="16" t="s">
        <v>3812</v>
      </c>
      <c r="Q650" s="16" t="s">
        <v>100</v>
      </c>
    </row>
    <row r="651" customFormat="false" ht="15" hidden="false" customHeight="false" outlineLevel="0" collapsed="false">
      <c r="A651" s="16" t="n">
        <v>43627</v>
      </c>
      <c r="B651" s="16" t="s">
        <v>3813</v>
      </c>
      <c r="C651" s="16" t="s">
        <v>3814</v>
      </c>
      <c r="D651" s="16" t="s">
        <v>23</v>
      </c>
      <c r="E651" s="16" t="s">
        <v>94</v>
      </c>
      <c r="F651" s="16" t="s">
        <v>3805</v>
      </c>
      <c r="G651" s="16" t="s">
        <v>3291</v>
      </c>
      <c r="H651" s="16" t="s">
        <v>45</v>
      </c>
      <c r="I651" s="16" t="s">
        <v>29</v>
      </c>
      <c r="J651" s="16" t="s">
        <v>3292</v>
      </c>
      <c r="K651" s="16" t="n">
        <v>51.2736625671387</v>
      </c>
      <c r="L651" s="16" t="n">
        <v>0.483988225460053</v>
      </c>
      <c r="M651" s="16" t="s">
        <v>98</v>
      </c>
      <c r="N651" s="16" t="s">
        <v>3815</v>
      </c>
      <c r="O651" s="16"/>
      <c r="P651" s="16" t="s">
        <v>3812</v>
      </c>
      <c r="Q651" s="16" t="s">
        <v>100</v>
      </c>
    </row>
    <row r="652" customFormat="false" ht="15" hidden="false" customHeight="false" outlineLevel="0" collapsed="false">
      <c r="A652" s="16" t="n">
        <v>43654</v>
      </c>
      <c r="B652" s="16" t="s">
        <v>3816</v>
      </c>
      <c r="C652" s="16" t="s">
        <v>3817</v>
      </c>
      <c r="D652" s="16" t="s">
        <v>23</v>
      </c>
      <c r="E652" s="16" t="s">
        <v>94</v>
      </c>
      <c r="F652" s="16" t="s">
        <v>3818</v>
      </c>
      <c r="G652" s="16" t="s">
        <v>428</v>
      </c>
      <c r="H652" s="16" t="s">
        <v>429</v>
      </c>
      <c r="I652" s="16" t="s">
        <v>32</v>
      </c>
      <c r="J652" s="16" t="s">
        <v>3819</v>
      </c>
      <c r="K652" s="16" t="n">
        <v>52.622200012207</v>
      </c>
      <c r="L652" s="16" t="n">
        <v>1.26366376876831</v>
      </c>
      <c r="M652" s="16" t="s">
        <v>98</v>
      </c>
      <c r="N652" s="16" t="s">
        <v>3820</v>
      </c>
      <c r="O652" s="16"/>
      <c r="P652" s="16"/>
      <c r="Q652" s="16" t="s">
        <v>100</v>
      </c>
    </row>
    <row r="653" customFormat="false" ht="15" hidden="false" customHeight="false" outlineLevel="0" collapsed="false">
      <c r="A653" s="16" t="n">
        <v>43655</v>
      </c>
      <c r="B653" s="16" t="s">
        <v>3821</v>
      </c>
      <c r="C653" s="16" t="s">
        <v>3822</v>
      </c>
      <c r="D653" s="16" t="s">
        <v>23</v>
      </c>
      <c r="E653" s="16" t="s">
        <v>94</v>
      </c>
      <c r="F653" s="16" t="s">
        <v>3818</v>
      </c>
      <c r="G653" s="16" t="s">
        <v>428</v>
      </c>
      <c r="H653" s="16" t="s">
        <v>429</v>
      </c>
      <c r="I653" s="16" t="s">
        <v>32</v>
      </c>
      <c r="J653" s="16" t="s">
        <v>3823</v>
      </c>
      <c r="K653" s="16" t="n">
        <v>52.633918762207</v>
      </c>
      <c r="L653" s="16" t="n">
        <v>1.26248204708099</v>
      </c>
      <c r="M653" s="16" t="s">
        <v>98</v>
      </c>
      <c r="N653" s="16" t="s">
        <v>3824</v>
      </c>
      <c r="O653" s="16"/>
      <c r="P653" s="16" t="s">
        <v>3825</v>
      </c>
      <c r="Q653" s="16" t="s">
        <v>100</v>
      </c>
    </row>
    <row r="654" customFormat="false" ht="15" hidden="false" customHeight="false" outlineLevel="0" collapsed="false">
      <c r="A654" s="16" t="n">
        <v>43656</v>
      </c>
      <c r="B654" s="16" t="s">
        <v>3826</v>
      </c>
      <c r="C654" s="16" t="s">
        <v>3827</v>
      </c>
      <c r="D654" s="16" t="s">
        <v>23</v>
      </c>
      <c r="E654" s="16" t="s">
        <v>94</v>
      </c>
      <c r="F654" s="16" t="s">
        <v>3818</v>
      </c>
      <c r="G654" s="16" t="s">
        <v>3828</v>
      </c>
      <c r="H654" s="16" t="s">
        <v>429</v>
      </c>
      <c r="I654" s="16" t="s">
        <v>32</v>
      </c>
      <c r="J654" s="16" t="s">
        <v>3829</v>
      </c>
      <c r="K654" s="16" t="n">
        <v>52.6900138854981</v>
      </c>
      <c r="L654" s="16" t="n">
        <v>0.945718586444855</v>
      </c>
      <c r="M654" s="16" t="s">
        <v>98</v>
      </c>
      <c r="N654" s="16" t="s">
        <v>3830</v>
      </c>
      <c r="O654" s="16"/>
      <c r="P654" s="16" t="s">
        <v>3831</v>
      </c>
      <c r="Q654" s="16" t="s">
        <v>100</v>
      </c>
    </row>
    <row r="655" customFormat="false" ht="15" hidden="false" customHeight="false" outlineLevel="0" collapsed="false">
      <c r="A655" s="16" t="n">
        <v>43657</v>
      </c>
      <c r="B655" s="16" t="s">
        <v>3832</v>
      </c>
      <c r="C655" s="16" t="s">
        <v>3833</v>
      </c>
      <c r="D655" s="16" t="s">
        <v>23</v>
      </c>
      <c r="E655" s="16" t="s">
        <v>94</v>
      </c>
      <c r="F655" s="16" t="s">
        <v>3818</v>
      </c>
      <c r="G655" s="16" t="s">
        <v>3834</v>
      </c>
      <c r="H655" s="16" t="s">
        <v>429</v>
      </c>
      <c r="I655" s="16" t="s">
        <v>32</v>
      </c>
      <c r="J655" s="16" t="s">
        <v>3835</v>
      </c>
      <c r="K655" s="16" t="n">
        <v>52.8139762878418</v>
      </c>
      <c r="L655" s="16" t="n">
        <v>1.38759791851044</v>
      </c>
      <c r="M655" s="16" t="s">
        <v>98</v>
      </c>
      <c r="N655" s="16" t="s">
        <v>3836</v>
      </c>
      <c r="O655" s="16"/>
      <c r="P655" s="16" t="s">
        <v>3825</v>
      </c>
      <c r="Q655" s="16" t="s">
        <v>100</v>
      </c>
    </row>
    <row r="656" customFormat="false" ht="15" hidden="false" customHeight="false" outlineLevel="0" collapsed="false">
      <c r="A656" s="16" t="n">
        <v>43659</v>
      </c>
      <c r="B656" s="16" t="s">
        <v>3837</v>
      </c>
      <c r="C656" s="16" t="s">
        <v>3838</v>
      </c>
      <c r="D656" s="16" t="s">
        <v>23</v>
      </c>
      <c r="E656" s="16" t="s">
        <v>94</v>
      </c>
      <c r="F656" s="16" t="s">
        <v>3818</v>
      </c>
      <c r="G656" s="16" t="s">
        <v>3839</v>
      </c>
      <c r="H656" s="16" t="s">
        <v>429</v>
      </c>
      <c r="I656" s="16" t="s">
        <v>32</v>
      </c>
      <c r="J656" s="16" t="s">
        <v>3840</v>
      </c>
      <c r="K656" s="16" t="n">
        <v>52.9144744873047</v>
      </c>
      <c r="L656" s="16" t="n">
        <v>1.11605679988861</v>
      </c>
      <c r="M656" s="16" t="s">
        <v>98</v>
      </c>
      <c r="N656" s="16" t="s">
        <v>3841</v>
      </c>
      <c r="O656" s="16"/>
      <c r="P656" s="16" t="s">
        <v>3825</v>
      </c>
      <c r="Q656" s="16" t="s">
        <v>100</v>
      </c>
    </row>
    <row r="657" customFormat="false" ht="15" hidden="false" customHeight="false" outlineLevel="0" collapsed="false">
      <c r="A657" s="16" t="n">
        <v>43660</v>
      </c>
      <c r="B657" s="16" t="s">
        <v>3842</v>
      </c>
      <c r="C657" s="16" t="s">
        <v>3843</v>
      </c>
      <c r="D657" s="16" t="s">
        <v>23</v>
      </c>
      <c r="E657" s="16" t="s">
        <v>94</v>
      </c>
      <c r="F657" s="16" t="s">
        <v>3818</v>
      </c>
      <c r="G657" s="16" t="s">
        <v>3844</v>
      </c>
      <c r="H657" s="16" t="s">
        <v>429</v>
      </c>
      <c r="I657" s="16" t="s">
        <v>32</v>
      </c>
      <c r="J657" s="16" t="s">
        <v>3845</v>
      </c>
      <c r="K657" s="16" t="n">
        <v>52.6510124206543</v>
      </c>
      <c r="L657" s="16" t="n">
        <v>0.692217528820038</v>
      </c>
      <c r="M657" s="16" t="s">
        <v>98</v>
      </c>
      <c r="N657" s="16" t="s">
        <v>3846</v>
      </c>
      <c r="O657" s="16"/>
      <c r="P657" s="16" t="s">
        <v>3825</v>
      </c>
      <c r="Q657" s="16" t="s">
        <v>100</v>
      </c>
    </row>
    <row r="658" customFormat="false" ht="15" hidden="false" customHeight="false" outlineLevel="0" collapsed="false">
      <c r="A658" s="16" t="n">
        <v>43666</v>
      </c>
      <c r="B658" s="16" t="s">
        <v>3847</v>
      </c>
      <c r="C658" s="16" t="s">
        <v>3848</v>
      </c>
      <c r="D658" s="16" t="s">
        <v>23</v>
      </c>
      <c r="E658" s="16" t="s">
        <v>94</v>
      </c>
      <c r="F658" s="16" t="s">
        <v>3849</v>
      </c>
      <c r="G658" s="16" t="s">
        <v>3850</v>
      </c>
      <c r="H658" s="16" t="s">
        <v>814</v>
      </c>
      <c r="I658" s="16" t="s">
        <v>36</v>
      </c>
      <c r="J658" s="16" t="s">
        <v>3851</v>
      </c>
      <c r="K658" s="16" t="n">
        <v>53.1451797485352</v>
      </c>
      <c r="L658" s="16" t="n">
        <v>0.332272350788117</v>
      </c>
      <c r="M658" s="16" t="s">
        <v>98</v>
      </c>
      <c r="N658" s="16" t="s">
        <v>3852</v>
      </c>
      <c r="O658" s="16"/>
      <c r="P658" s="16" t="s">
        <v>3853</v>
      </c>
      <c r="Q658" s="16" t="s">
        <v>100</v>
      </c>
    </row>
    <row r="659" customFormat="false" ht="15" hidden="false" customHeight="false" outlineLevel="0" collapsed="false">
      <c r="A659" s="16" t="n">
        <v>43667</v>
      </c>
      <c r="B659" s="16" t="s">
        <v>3854</v>
      </c>
      <c r="C659" s="16" t="s">
        <v>3855</v>
      </c>
      <c r="D659" s="16" t="s">
        <v>23</v>
      </c>
      <c r="E659" s="16" t="s">
        <v>94</v>
      </c>
      <c r="F659" s="16" t="s">
        <v>3849</v>
      </c>
      <c r="G659" s="16" t="s">
        <v>3856</v>
      </c>
      <c r="H659" s="16" t="s">
        <v>814</v>
      </c>
      <c r="I659" s="16" t="s">
        <v>36</v>
      </c>
      <c r="J659" s="16" t="s">
        <v>3857</v>
      </c>
      <c r="K659" s="16" t="n">
        <v>52.8014678955078</v>
      </c>
      <c r="L659" s="16" t="n">
        <v>-0.150874719023705</v>
      </c>
      <c r="M659" s="16" t="s">
        <v>98</v>
      </c>
      <c r="N659" s="16" t="s">
        <v>3858</v>
      </c>
      <c r="O659" s="16"/>
      <c r="P659" s="16" t="s">
        <v>3859</v>
      </c>
      <c r="Q659" s="16" t="s">
        <v>100</v>
      </c>
    </row>
    <row r="660" customFormat="false" ht="15" hidden="false" customHeight="false" outlineLevel="0" collapsed="false">
      <c r="A660" s="16" t="n">
        <v>43668</v>
      </c>
      <c r="B660" s="16" t="s">
        <v>3860</v>
      </c>
      <c r="C660" s="16" t="s">
        <v>3861</v>
      </c>
      <c r="D660" s="16" t="s">
        <v>23</v>
      </c>
      <c r="E660" s="16" t="s">
        <v>94</v>
      </c>
      <c r="F660" s="16" t="s">
        <v>3849</v>
      </c>
      <c r="G660" s="16" t="s">
        <v>3862</v>
      </c>
      <c r="H660" s="16" t="s">
        <v>814</v>
      </c>
      <c r="I660" s="16" t="s">
        <v>36</v>
      </c>
      <c r="J660" s="16" t="s">
        <v>3863</v>
      </c>
      <c r="K660" s="16" t="n">
        <v>53.4118461608887</v>
      </c>
      <c r="L660" s="16" t="n">
        <v>-0.784776389598846</v>
      </c>
      <c r="M660" s="16" t="s">
        <v>98</v>
      </c>
      <c r="N660" s="16" t="s">
        <v>3864</v>
      </c>
      <c r="O660" s="16"/>
      <c r="P660" s="16" t="s">
        <v>3865</v>
      </c>
      <c r="Q660" s="16" t="s">
        <v>100</v>
      </c>
    </row>
    <row r="661" customFormat="false" ht="15" hidden="false" customHeight="false" outlineLevel="0" collapsed="false">
      <c r="A661" s="16" t="n">
        <v>43669</v>
      </c>
      <c r="B661" s="16" t="s">
        <v>3866</v>
      </c>
      <c r="C661" s="16" t="s">
        <v>3867</v>
      </c>
      <c r="D661" s="16" t="s">
        <v>23</v>
      </c>
      <c r="E661" s="16" t="s">
        <v>94</v>
      </c>
      <c r="F661" s="16" t="s">
        <v>3849</v>
      </c>
      <c r="G661" s="16" t="s">
        <v>3868</v>
      </c>
      <c r="H661" s="16" t="s">
        <v>814</v>
      </c>
      <c r="I661" s="16" t="s">
        <v>36</v>
      </c>
      <c r="J661" s="16" t="s">
        <v>3869</v>
      </c>
      <c r="K661" s="16" t="n">
        <v>53.3710098266602</v>
      </c>
      <c r="L661" s="16" t="n">
        <v>-0.0085670743137598</v>
      </c>
      <c r="M661" s="16" t="s">
        <v>98</v>
      </c>
      <c r="N661" s="16" t="s">
        <v>3870</v>
      </c>
      <c r="O661" s="16"/>
      <c r="P661" s="16" t="s">
        <v>3871</v>
      </c>
      <c r="Q661" s="16" t="s">
        <v>100</v>
      </c>
    </row>
    <row r="662" customFormat="false" ht="15" hidden="false" customHeight="false" outlineLevel="0" collapsed="false">
      <c r="A662" s="16" t="n">
        <v>43674</v>
      </c>
      <c r="B662" s="16" t="s">
        <v>3872</v>
      </c>
      <c r="C662" s="16" t="s">
        <v>3873</v>
      </c>
      <c r="D662" s="16" t="s">
        <v>23</v>
      </c>
      <c r="E662" s="16" t="s">
        <v>94</v>
      </c>
      <c r="F662" s="16" t="s">
        <v>3874</v>
      </c>
      <c r="G662" s="16" t="s">
        <v>3875</v>
      </c>
      <c r="H662" s="16" t="s">
        <v>220</v>
      </c>
      <c r="I662" s="16" t="s">
        <v>36</v>
      </c>
      <c r="J662" s="16" t="s">
        <v>3876</v>
      </c>
      <c r="K662" s="16" t="n">
        <v>53.1509284973145</v>
      </c>
      <c r="L662" s="16" t="n">
        <v>-1.57520079612732</v>
      </c>
      <c r="M662" s="16" t="s">
        <v>98</v>
      </c>
      <c r="N662" s="16" t="s">
        <v>3877</v>
      </c>
      <c r="O662" s="16" t="s">
        <v>3878</v>
      </c>
      <c r="P662" s="16" t="s">
        <v>3879</v>
      </c>
      <c r="Q662" s="16" t="s">
        <v>100</v>
      </c>
    </row>
    <row r="663" customFormat="false" ht="15" hidden="false" customHeight="false" outlineLevel="0" collapsed="false">
      <c r="A663" s="16" t="n">
        <v>43675</v>
      </c>
      <c r="B663" s="16" t="s">
        <v>3880</v>
      </c>
      <c r="C663" s="16" t="s">
        <v>3881</v>
      </c>
      <c r="D663" s="16" t="s">
        <v>23</v>
      </c>
      <c r="E663" s="16" t="s">
        <v>94</v>
      </c>
      <c r="F663" s="16" t="s">
        <v>3874</v>
      </c>
      <c r="G663" s="16" t="s">
        <v>1930</v>
      </c>
      <c r="H663" s="16" t="s">
        <v>220</v>
      </c>
      <c r="I663" s="16" t="s">
        <v>36</v>
      </c>
      <c r="J663" s="16" t="s">
        <v>3882</v>
      </c>
      <c r="K663" s="16" t="n">
        <v>53.2215919494629</v>
      </c>
      <c r="L663" s="16" t="n">
        <v>-1.44256830215454</v>
      </c>
      <c r="M663" s="16" t="s">
        <v>98</v>
      </c>
      <c r="N663" s="16" t="s">
        <v>3883</v>
      </c>
      <c r="O663" s="16" t="s">
        <v>3878</v>
      </c>
      <c r="P663" s="16" t="s">
        <v>3884</v>
      </c>
      <c r="Q663" s="16" t="s">
        <v>100</v>
      </c>
    </row>
    <row r="664" customFormat="false" ht="15" hidden="false" customHeight="false" outlineLevel="0" collapsed="false">
      <c r="A664" s="16" t="n">
        <v>43676</v>
      </c>
      <c r="B664" s="16" t="s">
        <v>3885</v>
      </c>
      <c r="C664" s="16" t="s">
        <v>3886</v>
      </c>
      <c r="D664" s="16" t="s">
        <v>23</v>
      </c>
      <c r="E664" s="16" t="s">
        <v>94</v>
      </c>
      <c r="F664" s="16" t="s">
        <v>3874</v>
      </c>
      <c r="G664" s="16" t="s">
        <v>219</v>
      </c>
      <c r="H664" s="16" t="s">
        <v>220</v>
      </c>
      <c r="I664" s="16" t="s">
        <v>36</v>
      </c>
      <c r="J664" s="16" t="s">
        <v>3887</v>
      </c>
      <c r="K664" s="16" t="n">
        <v>53.0189476013184</v>
      </c>
      <c r="L664" s="16" t="n">
        <v>-1.48583269119263</v>
      </c>
      <c r="M664" s="16" t="s">
        <v>98</v>
      </c>
      <c r="N664" s="16" t="s">
        <v>3888</v>
      </c>
      <c r="O664" s="16" t="s">
        <v>3878</v>
      </c>
      <c r="P664" s="16" t="s">
        <v>3889</v>
      </c>
      <c r="Q664" s="16" t="s">
        <v>100</v>
      </c>
    </row>
    <row r="665" customFormat="false" ht="15" hidden="false" customHeight="false" outlineLevel="0" collapsed="false">
      <c r="A665" s="16" t="n">
        <v>43678</v>
      </c>
      <c r="B665" s="16" t="s">
        <v>3890</v>
      </c>
      <c r="C665" s="16" t="s">
        <v>3891</v>
      </c>
      <c r="D665" s="16" t="s">
        <v>23</v>
      </c>
      <c r="E665" s="16" t="s">
        <v>94</v>
      </c>
      <c r="F665" s="16" t="s">
        <v>3874</v>
      </c>
      <c r="G665" s="16" t="s">
        <v>3892</v>
      </c>
      <c r="H665" s="16" t="s">
        <v>220</v>
      </c>
      <c r="I665" s="16" t="s">
        <v>36</v>
      </c>
      <c r="J665" s="16" t="s">
        <v>3893</v>
      </c>
      <c r="K665" s="16" t="n">
        <v>53.0469856262207</v>
      </c>
      <c r="L665" s="16" t="n">
        <v>-1.41239213943481</v>
      </c>
      <c r="M665" s="16" t="s">
        <v>98</v>
      </c>
      <c r="N665" s="16" t="s">
        <v>3894</v>
      </c>
      <c r="O665" s="16" t="s">
        <v>3878</v>
      </c>
      <c r="P665" s="16" t="s">
        <v>3895</v>
      </c>
      <c r="Q665" s="16" t="s">
        <v>100</v>
      </c>
    </row>
    <row r="666" customFormat="false" ht="15" hidden="false" customHeight="false" outlineLevel="0" collapsed="false">
      <c r="A666" s="16" t="n">
        <v>43679</v>
      </c>
      <c r="B666" s="16" t="s">
        <v>3896</v>
      </c>
      <c r="C666" s="16" t="s">
        <v>3897</v>
      </c>
      <c r="D666" s="16" t="s">
        <v>23</v>
      </c>
      <c r="E666" s="16" t="s">
        <v>94</v>
      </c>
      <c r="F666" s="16" t="s">
        <v>3874</v>
      </c>
      <c r="G666" s="16" t="s">
        <v>3898</v>
      </c>
      <c r="H666" s="16" t="s">
        <v>220</v>
      </c>
      <c r="I666" s="16" t="s">
        <v>36</v>
      </c>
      <c r="J666" s="16" t="s">
        <v>3899</v>
      </c>
      <c r="K666" s="16" t="n">
        <v>53.2187957763672</v>
      </c>
      <c r="L666" s="16" t="n">
        <v>-1.67232525348663</v>
      </c>
      <c r="M666" s="16" t="s">
        <v>98</v>
      </c>
      <c r="N666" s="16" t="s">
        <v>3900</v>
      </c>
      <c r="O666" s="16" t="s">
        <v>3878</v>
      </c>
      <c r="P666" s="16" t="s">
        <v>3901</v>
      </c>
      <c r="Q666" s="16" t="s">
        <v>100</v>
      </c>
    </row>
    <row r="667" customFormat="false" ht="15" hidden="false" customHeight="false" outlineLevel="0" collapsed="false">
      <c r="A667" s="16" t="n">
        <v>43680</v>
      </c>
      <c r="B667" s="16" t="s">
        <v>3902</v>
      </c>
      <c r="C667" s="16" t="s">
        <v>3903</v>
      </c>
      <c r="D667" s="16" t="s">
        <v>23</v>
      </c>
      <c r="E667" s="16" t="s">
        <v>94</v>
      </c>
      <c r="F667" s="16" t="s">
        <v>3874</v>
      </c>
      <c r="G667" s="16" t="s">
        <v>1930</v>
      </c>
      <c r="H667" s="16" t="s">
        <v>220</v>
      </c>
      <c r="I667" s="16" t="s">
        <v>36</v>
      </c>
      <c r="J667" s="16" t="s">
        <v>3904</v>
      </c>
      <c r="K667" s="16" t="n">
        <v>53.1679344177246</v>
      </c>
      <c r="L667" s="16" t="n">
        <v>-1.4072117805481</v>
      </c>
      <c r="M667" s="16" t="s">
        <v>98</v>
      </c>
      <c r="N667" s="16" t="s">
        <v>3905</v>
      </c>
      <c r="O667" s="16" t="s">
        <v>3878</v>
      </c>
      <c r="P667" s="16" t="s">
        <v>3906</v>
      </c>
      <c r="Q667" s="16" t="s">
        <v>100</v>
      </c>
    </row>
    <row r="668" customFormat="false" ht="15" hidden="false" customHeight="false" outlineLevel="0" collapsed="false">
      <c r="A668" s="16" t="n">
        <v>43681</v>
      </c>
      <c r="B668" s="16" t="s">
        <v>3907</v>
      </c>
      <c r="C668" s="16" t="s">
        <v>3908</v>
      </c>
      <c r="D668" s="16" t="s">
        <v>23</v>
      </c>
      <c r="E668" s="16" t="s">
        <v>94</v>
      </c>
      <c r="F668" s="16" t="s">
        <v>3874</v>
      </c>
      <c r="G668" s="16" t="s">
        <v>1930</v>
      </c>
      <c r="H668" s="16" t="s">
        <v>220</v>
      </c>
      <c r="I668" s="16" t="s">
        <v>36</v>
      </c>
      <c r="J668" s="16" t="s">
        <v>3909</v>
      </c>
      <c r="K668" s="16" t="n">
        <v>53.2315292358398</v>
      </c>
      <c r="L668" s="16" t="n">
        <v>-1.28250169754028</v>
      </c>
      <c r="M668" s="16" t="s">
        <v>98</v>
      </c>
      <c r="N668" s="16" t="s">
        <v>3910</v>
      </c>
      <c r="O668" s="16" t="s">
        <v>3878</v>
      </c>
      <c r="P668" s="16" t="s">
        <v>3911</v>
      </c>
      <c r="Q668" s="16" t="s">
        <v>100</v>
      </c>
    </row>
    <row r="669" customFormat="false" ht="15" hidden="false" customHeight="false" outlineLevel="0" collapsed="false">
      <c r="A669" s="16" t="n">
        <v>43682</v>
      </c>
      <c r="B669" s="16" t="s">
        <v>3912</v>
      </c>
      <c r="C669" s="16" t="s">
        <v>3913</v>
      </c>
      <c r="D669" s="16" t="s">
        <v>23</v>
      </c>
      <c r="E669" s="16" t="s">
        <v>94</v>
      </c>
      <c r="F669" s="16" t="s">
        <v>3874</v>
      </c>
      <c r="G669" s="16" t="s">
        <v>3914</v>
      </c>
      <c r="H669" s="16" t="s">
        <v>220</v>
      </c>
      <c r="I669" s="16" t="s">
        <v>36</v>
      </c>
      <c r="J669" s="16" t="s">
        <v>3915</v>
      </c>
      <c r="K669" s="16" t="n">
        <v>53.2624473571777</v>
      </c>
      <c r="L669" s="16" t="n">
        <v>-1.92124032974243</v>
      </c>
      <c r="M669" s="16" t="s">
        <v>98</v>
      </c>
      <c r="N669" s="16" t="s">
        <v>3916</v>
      </c>
      <c r="O669" s="16" t="s">
        <v>3878</v>
      </c>
      <c r="P669" s="16" t="s">
        <v>3917</v>
      </c>
      <c r="Q669" s="16" t="s">
        <v>100</v>
      </c>
    </row>
    <row r="670" customFormat="false" ht="15" hidden="false" customHeight="false" outlineLevel="0" collapsed="false">
      <c r="A670" s="16" t="n">
        <v>43683</v>
      </c>
      <c r="B670" s="16" t="s">
        <v>3918</v>
      </c>
      <c r="C670" s="16" t="s">
        <v>3919</v>
      </c>
      <c r="D670" s="16" t="s">
        <v>23</v>
      </c>
      <c r="E670" s="16" t="s">
        <v>94</v>
      </c>
      <c r="F670" s="16" t="s">
        <v>3874</v>
      </c>
      <c r="G670" s="16" t="s">
        <v>3920</v>
      </c>
      <c r="H670" s="16" t="s">
        <v>220</v>
      </c>
      <c r="I670" s="16" t="s">
        <v>36</v>
      </c>
      <c r="J670" s="16" t="s">
        <v>3921</v>
      </c>
      <c r="K670" s="16" t="n">
        <v>52.988094329834</v>
      </c>
      <c r="L670" s="16" t="n">
        <v>-1.32080292701721</v>
      </c>
      <c r="M670" s="16" t="s">
        <v>98</v>
      </c>
      <c r="N670" s="16" t="s">
        <v>3922</v>
      </c>
      <c r="O670" s="16" t="s">
        <v>3878</v>
      </c>
      <c r="P670" s="16" t="s">
        <v>3923</v>
      </c>
      <c r="Q670" s="16" t="s">
        <v>100</v>
      </c>
    </row>
    <row r="671" customFormat="false" ht="15" hidden="false" customHeight="false" outlineLevel="0" collapsed="false">
      <c r="A671" s="16" t="n">
        <v>43750</v>
      </c>
      <c r="B671" s="16" t="s">
        <v>3924</v>
      </c>
      <c r="C671" s="16" t="s">
        <v>1328</v>
      </c>
      <c r="D671" s="16" t="s">
        <v>23</v>
      </c>
      <c r="E671" s="16" t="s">
        <v>94</v>
      </c>
      <c r="F671" s="16" t="s">
        <v>3925</v>
      </c>
      <c r="G671" s="16" t="s">
        <v>2258</v>
      </c>
      <c r="H671" s="16" t="s">
        <v>260</v>
      </c>
      <c r="I671" s="16" t="s">
        <v>34</v>
      </c>
      <c r="J671" s="16" t="s">
        <v>3926</v>
      </c>
      <c r="K671" s="16" t="n">
        <v>52.2888412475586</v>
      </c>
      <c r="L671" s="16" t="n">
        <v>-1.59439730644226</v>
      </c>
      <c r="M671" s="16" t="s">
        <v>98</v>
      </c>
      <c r="N671" s="16" t="s">
        <v>3927</v>
      </c>
      <c r="O671" s="16"/>
      <c r="P671" s="16" t="s">
        <v>3928</v>
      </c>
      <c r="Q671" s="16" t="s">
        <v>100</v>
      </c>
    </row>
    <row r="672" customFormat="false" ht="15" hidden="false" customHeight="false" outlineLevel="0" collapsed="false">
      <c r="A672" s="16" t="n">
        <v>43764</v>
      </c>
      <c r="B672" s="16" t="s">
        <v>3929</v>
      </c>
      <c r="C672" s="16" t="s">
        <v>3930</v>
      </c>
      <c r="D672" s="16" t="s">
        <v>23</v>
      </c>
      <c r="E672" s="16" t="s">
        <v>94</v>
      </c>
      <c r="F672" s="16" t="s">
        <v>3925</v>
      </c>
      <c r="G672" s="16" t="s">
        <v>706</v>
      </c>
      <c r="H672" s="16" t="s">
        <v>34</v>
      </c>
      <c r="I672" s="16" t="s">
        <v>34</v>
      </c>
      <c r="J672" s="16" t="s">
        <v>3931</v>
      </c>
      <c r="K672" s="16" t="n">
        <v>52.4712028503418</v>
      </c>
      <c r="L672" s="16" t="n">
        <v>-1.74408757686615</v>
      </c>
      <c r="M672" s="16" t="s">
        <v>98</v>
      </c>
      <c r="N672" s="16" t="s">
        <v>3932</v>
      </c>
      <c r="O672" s="16"/>
      <c r="P672" s="16" t="s">
        <v>3933</v>
      </c>
      <c r="Q672" s="16" t="s">
        <v>100</v>
      </c>
    </row>
    <row r="673" customFormat="false" ht="15" hidden="false" customHeight="false" outlineLevel="0" collapsed="false">
      <c r="A673" s="16" t="n">
        <v>43800</v>
      </c>
      <c r="B673" s="16" t="s">
        <v>3934</v>
      </c>
      <c r="C673" s="16" t="s">
        <v>3935</v>
      </c>
      <c r="D673" s="16" t="s">
        <v>23</v>
      </c>
      <c r="E673" s="16" t="s">
        <v>94</v>
      </c>
      <c r="F673" s="16" t="s">
        <v>3936</v>
      </c>
      <c r="G673" s="16" t="s">
        <v>33</v>
      </c>
      <c r="H673" s="16" t="s">
        <v>44</v>
      </c>
      <c r="I673" s="16" t="s">
        <v>33</v>
      </c>
      <c r="J673" s="16" t="s">
        <v>3937</v>
      </c>
      <c r="K673" s="16" t="n">
        <v>51.5169715881348</v>
      </c>
      <c r="L673" s="16" t="n">
        <v>-0.173555061221123</v>
      </c>
      <c r="M673" s="16" t="s">
        <v>98</v>
      </c>
      <c r="N673" s="16" t="s">
        <v>3938</v>
      </c>
      <c r="O673" s="16"/>
      <c r="P673" s="16" t="s">
        <v>3939</v>
      </c>
      <c r="Q673" s="16" t="s">
        <v>100</v>
      </c>
    </row>
    <row r="674" customFormat="false" ht="15" hidden="false" customHeight="false" outlineLevel="0" collapsed="false">
      <c r="A674" s="16" t="n">
        <v>43801</v>
      </c>
      <c r="B674" s="16" t="s">
        <v>3940</v>
      </c>
      <c r="C674" s="16" t="s">
        <v>3941</v>
      </c>
      <c r="D674" s="16" t="s">
        <v>23</v>
      </c>
      <c r="E674" s="16" t="s">
        <v>94</v>
      </c>
      <c r="F674" s="16" t="s">
        <v>3936</v>
      </c>
      <c r="G674" s="16" t="s">
        <v>33</v>
      </c>
      <c r="H674" s="16" t="s">
        <v>44</v>
      </c>
      <c r="I674" s="16" t="s">
        <v>33</v>
      </c>
      <c r="J674" s="16" t="s">
        <v>3942</v>
      </c>
      <c r="K674" s="16" t="n">
        <v>51.4870452880859</v>
      </c>
      <c r="L674" s="16" t="n">
        <v>-0.219920977950096</v>
      </c>
      <c r="M674" s="16" t="s">
        <v>98</v>
      </c>
      <c r="N674" s="16" t="s">
        <v>3943</v>
      </c>
      <c r="O674" s="16"/>
      <c r="P674" s="16" t="s">
        <v>3944</v>
      </c>
      <c r="Q674" s="16" t="s">
        <v>100</v>
      </c>
    </row>
    <row r="675" customFormat="false" ht="15" hidden="false" customHeight="false" outlineLevel="0" collapsed="false">
      <c r="A675" s="16" t="n">
        <v>43802</v>
      </c>
      <c r="B675" s="16" t="s">
        <v>3945</v>
      </c>
      <c r="C675" s="16" t="s">
        <v>3946</v>
      </c>
      <c r="D675" s="16" t="s">
        <v>23</v>
      </c>
      <c r="E675" s="16" t="s">
        <v>94</v>
      </c>
      <c r="F675" s="16" t="s">
        <v>3936</v>
      </c>
      <c r="G675" s="16" t="s">
        <v>33</v>
      </c>
      <c r="H675" s="16" t="s">
        <v>44</v>
      </c>
      <c r="I675" s="16" t="s">
        <v>33</v>
      </c>
      <c r="J675" s="16" t="s">
        <v>3947</v>
      </c>
      <c r="K675" s="16" t="n">
        <v>51.5174217224121</v>
      </c>
      <c r="L675" s="16" t="n">
        <v>-0.234706819057465</v>
      </c>
      <c r="M675" s="16" t="s">
        <v>98</v>
      </c>
      <c r="N675" s="16" t="s">
        <v>3948</v>
      </c>
      <c r="O675" s="16"/>
      <c r="P675" s="16" t="s">
        <v>3949</v>
      </c>
      <c r="Q675" s="16" t="s">
        <v>100</v>
      </c>
    </row>
    <row r="676" customFormat="false" ht="15" hidden="false" customHeight="false" outlineLevel="0" collapsed="false">
      <c r="A676" s="16" t="n">
        <v>43803</v>
      </c>
      <c r="B676" s="16" t="s">
        <v>3950</v>
      </c>
      <c r="C676" s="16" t="s">
        <v>3951</v>
      </c>
      <c r="D676" s="16" t="s">
        <v>23</v>
      </c>
      <c r="E676" s="16" t="s">
        <v>94</v>
      </c>
      <c r="F676" s="16" t="s">
        <v>3936</v>
      </c>
      <c r="G676" s="16" t="s">
        <v>33</v>
      </c>
      <c r="H676" s="16" t="s">
        <v>44</v>
      </c>
      <c r="I676" s="16" t="s">
        <v>33</v>
      </c>
      <c r="J676" s="16" t="s">
        <v>3947</v>
      </c>
      <c r="K676" s="16" t="n">
        <v>51.5174217224121</v>
      </c>
      <c r="L676" s="16" t="n">
        <v>-0.234706819057465</v>
      </c>
      <c r="M676" s="16" t="s">
        <v>98</v>
      </c>
      <c r="N676" s="16" t="s">
        <v>3952</v>
      </c>
      <c r="O676" s="16"/>
      <c r="P676" s="16" t="s">
        <v>3953</v>
      </c>
      <c r="Q676" s="16" t="s">
        <v>100</v>
      </c>
    </row>
    <row r="677" customFormat="false" ht="15" hidden="false" customHeight="false" outlineLevel="0" collapsed="false">
      <c r="A677" s="16" t="n">
        <v>43804</v>
      </c>
      <c r="B677" s="16" t="s">
        <v>3954</v>
      </c>
      <c r="C677" s="16" t="s">
        <v>3955</v>
      </c>
      <c r="D677" s="16" t="s">
        <v>23</v>
      </c>
      <c r="E677" s="16" t="s">
        <v>94</v>
      </c>
      <c r="F677" s="16" t="s">
        <v>3936</v>
      </c>
      <c r="G677" s="16" t="s">
        <v>33</v>
      </c>
      <c r="H677" s="16" t="s">
        <v>44</v>
      </c>
      <c r="I677" s="16" t="s">
        <v>33</v>
      </c>
      <c r="J677" s="16" t="s">
        <v>3956</v>
      </c>
      <c r="K677" s="16" t="n">
        <v>51.5207023620606</v>
      </c>
      <c r="L677" s="16" t="n">
        <v>-0.163315638899803</v>
      </c>
      <c r="M677" s="16" t="s">
        <v>98</v>
      </c>
      <c r="N677" s="16" t="s">
        <v>3938</v>
      </c>
      <c r="O677" s="16"/>
      <c r="P677" s="16" t="s">
        <v>3957</v>
      </c>
      <c r="Q677" s="16" t="s">
        <v>100</v>
      </c>
    </row>
    <row r="678" customFormat="false" ht="15" hidden="false" customHeight="false" outlineLevel="0" collapsed="false">
      <c r="A678" s="16" t="n">
        <v>43868</v>
      </c>
      <c r="B678" s="16" t="s">
        <v>3958</v>
      </c>
      <c r="C678" s="16" t="s">
        <v>3959</v>
      </c>
      <c r="D678" s="16" t="s">
        <v>23</v>
      </c>
      <c r="E678" s="16" t="s">
        <v>94</v>
      </c>
      <c r="F678" s="16" t="s">
        <v>3960</v>
      </c>
      <c r="G678" s="16" t="s">
        <v>3961</v>
      </c>
      <c r="H678" s="16" t="s">
        <v>214</v>
      </c>
      <c r="I678" s="16" t="s">
        <v>29</v>
      </c>
      <c r="J678" s="16" t="s">
        <v>3962</v>
      </c>
      <c r="K678" s="16" t="n">
        <v>50.8407592773438</v>
      </c>
      <c r="L678" s="16" t="n">
        <v>-0.256132513284683</v>
      </c>
      <c r="M678" s="16" t="s">
        <v>98</v>
      </c>
      <c r="N678" s="16" t="s">
        <v>3963</v>
      </c>
      <c r="O678" s="16"/>
      <c r="P678" s="16" t="s">
        <v>3964</v>
      </c>
      <c r="Q678" s="16" t="s">
        <v>100</v>
      </c>
    </row>
    <row r="679" customFormat="false" ht="15" hidden="false" customHeight="false" outlineLevel="0" collapsed="false">
      <c r="A679" s="16" t="n">
        <v>43869</v>
      </c>
      <c r="B679" s="16" t="s">
        <v>3965</v>
      </c>
      <c r="C679" s="16" t="s">
        <v>3966</v>
      </c>
      <c r="D679" s="16" t="s">
        <v>23</v>
      </c>
      <c r="E679" s="16" t="s">
        <v>94</v>
      </c>
      <c r="F679" s="16" t="s">
        <v>3960</v>
      </c>
      <c r="G679" s="16" t="s">
        <v>213</v>
      </c>
      <c r="H679" s="16" t="s">
        <v>214</v>
      </c>
      <c r="I679" s="16" t="s">
        <v>29</v>
      </c>
      <c r="J679" s="16" t="s">
        <v>3967</v>
      </c>
      <c r="K679" s="16" t="n">
        <v>50.8435554504395</v>
      </c>
      <c r="L679" s="16" t="n">
        <v>-0.768012762069702</v>
      </c>
      <c r="M679" s="16" t="s">
        <v>98</v>
      </c>
      <c r="N679" s="16" t="s">
        <v>3968</v>
      </c>
      <c r="O679" s="16" t="s">
        <v>3969</v>
      </c>
      <c r="P679" s="16" t="s">
        <v>3964</v>
      </c>
      <c r="Q679" s="16" t="s">
        <v>100</v>
      </c>
    </row>
    <row r="680" customFormat="false" ht="15" hidden="false" customHeight="false" outlineLevel="0" collapsed="false">
      <c r="A680" s="16" t="n">
        <v>43870</v>
      </c>
      <c r="B680" s="16" t="s">
        <v>3970</v>
      </c>
      <c r="C680" s="16" t="s">
        <v>3971</v>
      </c>
      <c r="D680" s="16" t="s">
        <v>23</v>
      </c>
      <c r="E680" s="16" t="s">
        <v>94</v>
      </c>
      <c r="F680" s="16" t="s">
        <v>3960</v>
      </c>
      <c r="G680" s="16" t="s">
        <v>647</v>
      </c>
      <c r="H680" s="16" t="s">
        <v>214</v>
      </c>
      <c r="I680" s="16" t="s">
        <v>29</v>
      </c>
      <c r="J680" s="16" t="s">
        <v>3972</v>
      </c>
      <c r="K680" s="16" t="n">
        <v>50.8166923522949</v>
      </c>
      <c r="L680" s="16" t="n">
        <v>-0.363415062427521</v>
      </c>
      <c r="M680" s="16" t="s">
        <v>98</v>
      </c>
      <c r="N680" s="16" t="s">
        <v>3963</v>
      </c>
      <c r="O680" s="16"/>
      <c r="P680" s="16" t="s">
        <v>3964</v>
      </c>
      <c r="Q680" s="16" t="s">
        <v>100</v>
      </c>
    </row>
    <row r="681" customFormat="false" ht="15" hidden="false" customHeight="false" outlineLevel="0" collapsed="false">
      <c r="A681" s="16" t="n">
        <v>43873</v>
      </c>
      <c r="B681" s="16" t="s">
        <v>3973</v>
      </c>
      <c r="C681" s="16" t="s">
        <v>3974</v>
      </c>
      <c r="D681" s="16" t="s">
        <v>23</v>
      </c>
      <c r="E681" s="16" t="s">
        <v>94</v>
      </c>
      <c r="F681" s="16" t="s">
        <v>3975</v>
      </c>
      <c r="G681" s="16" t="s">
        <v>197</v>
      </c>
      <c r="H681" s="16" t="s">
        <v>157</v>
      </c>
      <c r="I681" s="16" t="s">
        <v>32</v>
      </c>
      <c r="J681" s="16" t="s">
        <v>3976</v>
      </c>
      <c r="K681" s="16" t="n">
        <v>52.1971244812012</v>
      </c>
      <c r="L681" s="16" t="n">
        <v>0.15081675350666</v>
      </c>
      <c r="M681" s="16" t="s">
        <v>98</v>
      </c>
      <c r="N681" s="16" t="s">
        <v>3977</v>
      </c>
      <c r="O681" s="16" t="s">
        <v>3978</v>
      </c>
      <c r="P681" s="16"/>
      <c r="Q681" s="16" t="s">
        <v>100</v>
      </c>
    </row>
    <row r="682" customFormat="false" ht="15" hidden="false" customHeight="false" outlineLevel="0" collapsed="false">
      <c r="A682" s="16" t="n">
        <v>43886</v>
      </c>
      <c r="B682" s="16" t="s">
        <v>3979</v>
      </c>
      <c r="C682" s="16" t="s">
        <v>3980</v>
      </c>
      <c r="D682" s="16" t="s">
        <v>23</v>
      </c>
      <c r="E682" s="16" t="s">
        <v>94</v>
      </c>
      <c r="F682" s="16" t="s">
        <v>3981</v>
      </c>
      <c r="G682" s="16" t="s">
        <v>3982</v>
      </c>
      <c r="H682" s="16" t="s">
        <v>34</v>
      </c>
      <c r="I682" s="16" t="s">
        <v>34</v>
      </c>
      <c r="J682" s="16" t="s">
        <v>3983</v>
      </c>
      <c r="K682" s="16" t="n">
        <v>52.450870513916</v>
      </c>
      <c r="L682" s="16" t="n">
        <v>-1.9142998456955</v>
      </c>
      <c r="M682" s="16" t="s">
        <v>98</v>
      </c>
      <c r="N682" s="16" t="s">
        <v>3984</v>
      </c>
      <c r="O682" s="16" t="s">
        <v>3985</v>
      </c>
      <c r="P682" s="16" t="s">
        <v>3986</v>
      </c>
      <c r="Q682" s="16" t="s">
        <v>100</v>
      </c>
    </row>
    <row r="683" customFormat="false" ht="15" hidden="false" customHeight="false" outlineLevel="0" collapsed="false">
      <c r="A683" s="16" t="n">
        <v>43888</v>
      </c>
      <c r="B683" s="16" t="s">
        <v>3987</v>
      </c>
      <c r="C683" s="16" t="s">
        <v>3988</v>
      </c>
      <c r="D683" s="16" t="s">
        <v>23</v>
      </c>
      <c r="E683" s="16" t="s">
        <v>94</v>
      </c>
      <c r="F683" s="16" t="s">
        <v>3981</v>
      </c>
      <c r="G683" s="16" t="s">
        <v>706</v>
      </c>
      <c r="H683" s="16" t="s">
        <v>34</v>
      </c>
      <c r="I683" s="16" t="s">
        <v>34</v>
      </c>
      <c r="J683" s="16" t="s">
        <v>3778</v>
      </c>
      <c r="K683" s="16" t="n">
        <v>52.4459266662598</v>
      </c>
      <c r="L683" s="16" t="n">
        <v>-1.8928769826889</v>
      </c>
      <c r="M683" s="16" t="s">
        <v>98</v>
      </c>
      <c r="N683" s="16" t="s">
        <v>3989</v>
      </c>
      <c r="O683" s="16"/>
      <c r="P683" s="16" t="s">
        <v>3990</v>
      </c>
      <c r="Q683" s="16" t="s">
        <v>100</v>
      </c>
    </row>
    <row r="684" customFormat="false" ht="15" hidden="false" customHeight="false" outlineLevel="0" collapsed="false">
      <c r="A684" s="16" t="n">
        <v>43889</v>
      </c>
      <c r="B684" s="16" t="s">
        <v>3991</v>
      </c>
      <c r="C684" s="16" t="s">
        <v>3992</v>
      </c>
      <c r="D684" s="16" t="s">
        <v>23</v>
      </c>
      <c r="E684" s="16" t="s">
        <v>94</v>
      </c>
      <c r="F684" s="16" t="s">
        <v>3981</v>
      </c>
      <c r="G684" s="16" t="s">
        <v>706</v>
      </c>
      <c r="H684" s="16" t="s">
        <v>34</v>
      </c>
      <c r="I684" s="16" t="s">
        <v>34</v>
      </c>
      <c r="J684" s="16" t="s">
        <v>3993</v>
      </c>
      <c r="K684" s="16" t="n">
        <v>52.3982086181641</v>
      </c>
      <c r="L684" s="16" t="n">
        <v>-1.9537638425827</v>
      </c>
      <c r="M684" s="16" t="s">
        <v>98</v>
      </c>
      <c r="N684" s="16" t="s">
        <v>3989</v>
      </c>
      <c r="O684" s="16"/>
      <c r="P684" s="16"/>
      <c r="Q684" s="16" t="s">
        <v>100</v>
      </c>
    </row>
    <row r="685" customFormat="false" ht="15" hidden="false" customHeight="false" outlineLevel="0" collapsed="false">
      <c r="A685" s="16" t="n">
        <v>43926</v>
      </c>
      <c r="B685" s="16" t="s">
        <v>3994</v>
      </c>
      <c r="C685" s="16" t="s">
        <v>3995</v>
      </c>
      <c r="D685" s="16" t="s">
        <v>23</v>
      </c>
      <c r="E685" s="16" t="s">
        <v>94</v>
      </c>
      <c r="F685" s="16" t="s">
        <v>75</v>
      </c>
      <c r="G685" s="16" t="s">
        <v>3996</v>
      </c>
      <c r="H685" s="16" t="s">
        <v>45</v>
      </c>
      <c r="I685" s="16" t="s">
        <v>29</v>
      </c>
      <c r="J685" s="16" t="s">
        <v>3997</v>
      </c>
      <c r="K685" s="16" t="n">
        <v>51.3145523071289</v>
      </c>
      <c r="L685" s="16" t="n">
        <v>0.887836456298828</v>
      </c>
      <c r="M685" s="16" t="s">
        <v>98</v>
      </c>
      <c r="N685" s="16" t="s">
        <v>3998</v>
      </c>
      <c r="O685" s="16"/>
      <c r="P685" s="16" t="s">
        <v>3999</v>
      </c>
      <c r="Q685" s="16" t="s">
        <v>100</v>
      </c>
    </row>
    <row r="686" customFormat="false" ht="15" hidden="false" customHeight="false" outlineLevel="0" collapsed="false">
      <c r="A686" s="16" t="n">
        <v>43939</v>
      </c>
      <c r="B686" s="16" t="s">
        <v>4000</v>
      </c>
      <c r="C686" s="16" t="s">
        <v>4001</v>
      </c>
      <c r="D686" s="16" t="s">
        <v>23</v>
      </c>
      <c r="E686" s="16" t="s">
        <v>94</v>
      </c>
      <c r="F686" s="16" t="s">
        <v>75</v>
      </c>
      <c r="G686" s="16" t="s">
        <v>4002</v>
      </c>
      <c r="H686" s="16" t="s">
        <v>45</v>
      </c>
      <c r="I686" s="16" t="s">
        <v>29</v>
      </c>
      <c r="J686" s="16" t="s">
        <v>4003</v>
      </c>
      <c r="K686" s="16" t="n">
        <v>51.3678817749023</v>
      </c>
      <c r="L686" s="16" t="n">
        <v>1.14289486408234</v>
      </c>
      <c r="M686" s="16" t="s">
        <v>98</v>
      </c>
      <c r="N686" s="16" t="s">
        <v>4004</v>
      </c>
      <c r="O686" s="16"/>
      <c r="P686" s="16" t="s">
        <v>3999</v>
      </c>
      <c r="Q686" s="16" t="s">
        <v>100</v>
      </c>
    </row>
    <row r="687" customFormat="false" ht="15" hidden="false" customHeight="false" outlineLevel="0" collapsed="false">
      <c r="A687" s="16" t="n">
        <v>43943</v>
      </c>
      <c r="B687" s="16" t="s">
        <v>4005</v>
      </c>
      <c r="C687" s="16" t="s">
        <v>4006</v>
      </c>
      <c r="D687" s="16" t="s">
        <v>23</v>
      </c>
      <c r="E687" s="16" t="s">
        <v>94</v>
      </c>
      <c r="F687" s="16" t="s">
        <v>75</v>
      </c>
      <c r="G687" s="16" t="s">
        <v>4007</v>
      </c>
      <c r="H687" s="16" t="s">
        <v>45</v>
      </c>
      <c r="I687" s="16" t="s">
        <v>29</v>
      </c>
      <c r="J687" s="16" t="s">
        <v>4008</v>
      </c>
      <c r="K687" s="16" t="n">
        <v>51.4154090881348</v>
      </c>
      <c r="L687" s="16" t="n">
        <v>0.793075561523438</v>
      </c>
      <c r="M687" s="16" t="s">
        <v>98</v>
      </c>
      <c r="N687" s="16" t="s">
        <v>4009</v>
      </c>
      <c r="O687" s="16"/>
      <c r="P687" s="16" t="s">
        <v>3999</v>
      </c>
      <c r="Q687" s="16" t="s">
        <v>100</v>
      </c>
    </row>
    <row r="688" customFormat="false" ht="15" hidden="false" customHeight="false" outlineLevel="0" collapsed="false">
      <c r="A688" s="16" t="n">
        <v>43944</v>
      </c>
      <c r="B688" s="16" t="s">
        <v>4010</v>
      </c>
      <c r="C688" s="16" t="s">
        <v>4011</v>
      </c>
      <c r="D688" s="16" t="s">
        <v>23</v>
      </c>
      <c r="E688" s="16" t="s">
        <v>94</v>
      </c>
      <c r="F688" s="16" t="s">
        <v>75</v>
      </c>
      <c r="G688" s="16" t="s">
        <v>4012</v>
      </c>
      <c r="H688" s="16" t="s">
        <v>45</v>
      </c>
      <c r="I688" s="16" t="s">
        <v>29</v>
      </c>
      <c r="J688" s="16" t="s">
        <v>4013</v>
      </c>
      <c r="K688" s="16" t="n">
        <v>51.3345985412598</v>
      </c>
      <c r="L688" s="16" t="n">
        <v>0.736556947231293</v>
      </c>
      <c r="M688" s="16" t="s">
        <v>98</v>
      </c>
      <c r="N688" s="16" t="s">
        <v>4014</v>
      </c>
      <c r="O688" s="16"/>
      <c r="P688" s="16" t="s">
        <v>3999</v>
      </c>
      <c r="Q688" s="16" t="s">
        <v>100</v>
      </c>
    </row>
    <row r="689" customFormat="false" ht="15" hidden="false" customHeight="false" outlineLevel="0" collapsed="false">
      <c r="A689" s="16" t="n">
        <v>43952</v>
      </c>
      <c r="B689" s="16" t="s">
        <v>4015</v>
      </c>
      <c r="C689" s="16" t="s">
        <v>4016</v>
      </c>
      <c r="D689" s="16" t="s">
        <v>23</v>
      </c>
      <c r="E689" s="16" t="s">
        <v>94</v>
      </c>
      <c r="F689" s="16" t="s">
        <v>75</v>
      </c>
      <c r="G689" s="16" t="s">
        <v>4017</v>
      </c>
      <c r="H689" s="16" t="s">
        <v>45</v>
      </c>
      <c r="I689" s="16" t="s">
        <v>29</v>
      </c>
      <c r="J689" s="16" t="s">
        <v>4018</v>
      </c>
      <c r="K689" s="16" t="n">
        <v>51.2193908691406</v>
      </c>
      <c r="L689" s="16" t="n">
        <v>1.38949632644653</v>
      </c>
      <c r="M689" s="16" t="s">
        <v>98</v>
      </c>
      <c r="N689" s="16" t="s">
        <v>4019</v>
      </c>
      <c r="O689" s="16"/>
      <c r="P689" s="16" t="s">
        <v>3999</v>
      </c>
      <c r="Q689" s="16" t="s">
        <v>100</v>
      </c>
    </row>
    <row r="690" customFormat="false" ht="15" hidden="false" customHeight="false" outlineLevel="0" collapsed="false">
      <c r="A690" s="16" t="n">
        <v>43956</v>
      </c>
      <c r="B690" s="16" t="s">
        <v>4020</v>
      </c>
      <c r="C690" s="16" t="s">
        <v>4021</v>
      </c>
      <c r="D690" s="16" t="s">
        <v>23</v>
      </c>
      <c r="E690" s="16" t="s">
        <v>94</v>
      </c>
      <c r="F690" s="16" t="s">
        <v>75</v>
      </c>
      <c r="G690" s="16" t="s">
        <v>4022</v>
      </c>
      <c r="H690" s="16" t="s">
        <v>45</v>
      </c>
      <c r="I690" s="16" t="s">
        <v>29</v>
      </c>
      <c r="J690" s="16" t="s">
        <v>4023</v>
      </c>
      <c r="K690" s="16" t="n">
        <v>51.3613624572754</v>
      </c>
      <c r="L690" s="16" t="n">
        <v>1.05006682872772</v>
      </c>
      <c r="M690" s="16" t="s">
        <v>98</v>
      </c>
      <c r="N690" s="16" t="s">
        <v>4024</v>
      </c>
      <c r="O690" s="16"/>
      <c r="P690" s="16" t="s">
        <v>3999</v>
      </c>
      <c r="Q690" s="16" t="s">
        <v>100</v>
      </c>
    </row>
    <row r="691" customFormat="false" ht="15" hidden="false" customHeight="false" outlineLevel="0" collapsed="false">
      <c r="A691" s="16" t="n">
        <v>43962</v>
      </c>
      <c r="B691" s="16" t="s">
        <v>4025</v>
      </c>
      <c r="C691" s="16" t="s">
        <v>4026</v>
      </c>
      <c r="D691" s="16" t="s">
        <v>23</v>
      </c>
      <c r="E691" s="16" t="s">
        <v>94</v>
      </c>
      <c r="F691" s="16" t="s">
        <v>75</v>
      </c>
      <c r="G691" s="16" t="s">
        <v>4027</v>
      </c>
      <c r="H691" s="16" t="s">
        <v>45</v>
      </c>
      <c r="I691" s="16" t="s">
        <v>29</v>
      </c>
      <c r="J691" s="16" t="s">
        <v>4028</v>
      </c>
      <c r="K691" s="16" t="n">
        <v>51.085994720459</v>
      </c>
      <c r="L691" s="16" t="n">
        <v>1.17190861701965</v>
      </c>
      <c r="M691" s="16" t="s">
        <v>98</v>
      </c>
      <c r="N691" s="16" t="s">
        <v>4029</v>
      </c>
      <c r="O691" s="16"/>
      <c r="P691" s="16"/>
      <c r="Q691" s="16" t="s">
        <v>100</v>
      </c>
    </row>
    <row r="692" customFormat="false" ht="15" hidden="false" customHeight="false" outlineLevel="0" collapsed="false">
      <c r="A692" s="16" t="n">
        <v>43966</v>
      </c>
      <c r="B692" s="16" t="s">
        <v>4030</v>
      </c>
      <c r="C692" s="16" t="s">
        <v>4031</v>
      </c>
      <c r="D692" s="16" t="s">
        <v>23</v>
      </c>
      <c r="E692" s="16" t="s">
        <v>94</v>
      </c>
      <c r="F692" s="16" t="s">
        <v>75</v>
      </c>
      <c r="G692" s="16" t="s">
        <v>4032</v>
      </c>
      <c r="H692" s="16" t="s">
        <v>45</v>
      </c>
      <c r="I692" s="16" t="s">
        <v>29</v>
      </c>
      <c r="J692" s="16" t="s">
        <v>4033</v>
      </c>
      <c r="K692" s="16" t="n">
        <v>51.1903495788574</v>
      </c>
      <c r="L692" s="16" t="n">
        <v>0.066651664674282</v>
      </c>
      <c r="M692" s="16" t="s">
        <v>98</v>
      </c>
      <c r="N692" s="16" t="s">
        <v>4034</v>
      </c>
      <c r="O692" s="16"/>
      <c r="P692" s="16" t="s">
        <v>3999</v>
      </c>
      <c r="Q692" s="16" t="s">
        <v>100</v>
      </c>
    </row>
    <row r="693" customFormat="false" ht="15" hidden="false" customHeight="false" outlineLevel="0" collapsed="false">
      <c r="A693" s="16" t="n">
        <v>43967</v>
      </c>
      <c r="B693" s="16" t="s">
        <v>4035</v>
      </c>
      <c r="C693" s="16" t="s">
        <v>4036</v>
      </c>
      <c r="D693" s="16" t="s">
        <v>23</v>
      </c>
      <c r="E693" s="16" t="s">
        <v>94</v>
      </c>
      <c r="F693" s="16" t="s">
        <v>75</v>
      </c>
      <c r="G693" s="16" t="s">
        <v>1220</v>
      </c>
      <c r="H693" s="16" t="s">
        <v>45</v>
      </c>
      <c r="I693" s="16" t="s">
        <v>29</v>
      </c>
      <c r="J693" s="16" t="s">
        <v>4037</v>
      </c>
      <c r="K693" s="16" t="n">
        <v>51.0488433837891</v>
      </c>
      <c r="L693" s="16" t="n">
        <v>0.489031434059143</v>
      </c>
      <c r="M693" s="16" t="s">
        <v>98</v>
      </c>
      <c r="N693" s="16" t="s">
        <v>4038</v>
      </c>
      <c r="O693" s="16"/>
      <c r="P693" s="16" t="s">
        <v>3999</v>
      </c>
      <c r="Q693" s="16" t="s">
        <v>100</v>
      </c>
    </row>
    <row r="694" customFormat="false" ht="15" hidden="false" customHeight="false" outlineLevel="0" collapsed="false">
      <c r="A694" s="16" t="n">
        <v>43969</v>
      </c>
      <c r="B694" s="16" t="s">
        <v>4039</v>
      </c>
      <c r="C694" s="16" t="s">
        <v>4040</v>
      </c>
      <c r="D694" s="16" t="s">
        <v>23</v>
      </c>
      <c r="E694" s="16" t="s">
        <v>94</v>
      </c>
      <c r="F694" s="16" t="s">
        <v>75</v>
      </c>
      <c r="G694" s="16" t="s">
        <v>4041</v>
      </c>
      <c r="H694" s="16" t="s">
        <v>45</v>
      </c>
      <c r="I694" s="16" t="s">
        <v>29</v>
      </c>
      <c r="J694" s="16" t="s">
        <v>4042</v>
      </c>
      <c r="K694" s="16" t="n">
        <v>51.2882652282715</v>
      </c>
      <c r="L694" s="16" t="n">
        <v>0.194744303822517</v>
      </c>
      <c r="M694" s="16" t="s">
        <v>98</v>
      </c>
      <c r="N694" s="16" t="s">
        <v>4043</v>
      </c>
      <c r="O694" s="16"/>
      <c r="P694" s="16" t="s">
        <v>3999</v>
      </c>
      <c r="Q694" s="16" t="s">
        <v>100</v>
      </c>
    </row>
    <row r="695" customFormat="false" ht="15" hidden="false" customHeight="false" outlineLevel="0" collapsed="false">
      <c r="A695" s="16" t="n">
        <v>43970</v>
      </c>
      <c r="B695" s="16" t="s">
        <v>4044</v>
      </c>
      <c r="C695" s="16" t="s">
        <v>4045</v>
      </c>
      <c r="D695" s="16" t="s">
        <v>23</v>
      </c>
      <c r="E695" s="16" t="s">
        <v>94</v>
      </c>
      <c r="F695" s="16" t="s">
        <v>75</v>
      </c>
      <c r="G695" s="16" t="s">
        <v>4046</v>
      </c>
      <c r="H695" s="16" t="s">
        <v>45</v>
      </c>
      <c r="I695" s="16" t="s">
        <v>29</v>
      </c>
      <c r="J695" s="16" t="s">
        <v>4047</v>
      </c>
      <c r="K695" s="16" t="n">
        <v>51.1780700683594</v>
      </c>
      <c r="L695" s="16" t="n">
        <v>0.273479372262955</v>
      </c>
      <c r="M695" s="16" t="s">
        <v>98</v>
      </c>
      <c r="N695" s="16" t="s">
        <v>4048</v>
      </c>
      <c r="O695" s="16"/>
      <c r="P695" s="16" t="s">
        <v>3999</v>
      </c>
      <c r="Q695" s="16" t="s">
        <v>100</v>
      </c>
    </row>
    <row r="696" customFormat="false" ht="15" hidden="false" customHeight="false" outlineLevel="0" collapsed="false">
      <c r="A696" s="16" t="n">
        <v>43971</v>
      </c>
      <c r="B696" s="16" t="s">
        <v>4049</v>
      </c>
      <c r="C696" s="16" t="s">
        <v>4050</v>
      </c>
      <c r="D696" s="16" t="s">
        <v>23</v>
      </c>
      <c r="E696" s="16" t="s">
        <v>94</v>
      </c>
      <c r="F696" s="16" t="s">
        <v>75</v>
      </c>
      <c r="G696" s="16" t="s">
        <v>4051</v>
      </c>
      <c r="H696" s="16" t="s">
        <v>45</v>
      </c>
      <c r="I696" s="16" t="s">
        <v>29</v>
      </c>
      <c r="J696" s="16" t="s">
        <v>4052</v>
      </c>
      <c r="K696" s="16" t="n">
        <v>51.4431838989258</v>
      </c>
      <c r="L696" s="16" t="n">
        <v>0.365658640861511</v>
      </c>
      <c r="M696" s="16" t="s">
        <v>98</v>
      </c>
      <c r="N696" s="16" t="s">
        <v>4053</v>
      </c>
      <c r="O696" s="16"/>
      <c r="P696" s="16" t="s">
        <v>4054</v>
      </c>
      <c r="Q696" s="16" t="s">
        <v>100</v>
      </c>
    </row>
    <row r="697" customFormat="false" ht="15" hidden="false" customHeight="false" outlineLevel="0" collapsed="false">
      <c r="A697" s="16" t="n">
        <v>44072</v>
      </c>
      <c r="B697" s="16" t="s">
        <v>4055</v>
      </c>
      <c r="C697" s="16" t="s">
        <v>4056</v>
      </c>
      <c r="D697" s="16" t="s">
        <v>23</v>
      </c>
      <c r="E697" s="16" t="s">
        <v>94</v>
      </c>
      <c r="F697" s="16" t="s">
        <v>4057</v>
      </c>
      <c r="G697" s="16" t="s">
        <v>1401</v>
      </c>
      <c r="H697" s="16" t="s">
        <v>50</v>
      </c>
      <c r="I697" s="16" t="s">
        <v>35</v>
      </c>
      <c r="J697" s="16" t="s">
        <v>4058</v>
      </c>
      <c r="K697" s="16" t="n">
        <v>53.8097305297852</v>
      </c>
      <c r="L697" s="16" t="n">
        <v>-1.80533921718597</v>
      </c>
      <c r="M697" s="16" t="s">
        <v>98</v>
      </c>
      <c r="N697" s="16" t="s">
        <v>4059</v>
      </c>
      <c r="O697" s="16"/>
      <c r="P697" s="16" t="s">
        <v>4060</v>
      </c>
      <c r="Q697" s="16" t="s">
        <v>100</v>
      </c>
    </row>
    <row r="698" customFormat="false" ht="15" hidden="false" customHeight="false" outlineLevel="0" collapsed="false">
      <c r="A698" s="16" t="n">
        <v>44186</v>
      </c>
      <c r="B698" s="16" t="s">
        <v>4061</v>
      </c>
      <c r="C698" s="16" t="s">
        <v>4062</v>
      </c>
      <c r="D698" s="16" t="s">
        <v>23</v>
      </c>
      <c r="E698" s="16" t="s">
        <v>94</v>
      </c>
      <c r="F698" s="16" t="s">
        <v>4063</v>
      </c>
      <c r="G698" s="16" t="s">
        <v>3592</v>
      </c>
      <c r="H698" s="16" t="s">
        <v>34</v>
      </c>
      <c r="I698" s="16" t="s">
        <v>34</v>
      </c>
      <c r="J698" s="16" t="s">
        <v>4064</v>
      </c>
      <c r="K698" s="16" t="n">
        <v>52.5192260742188</v>
      </c>
      <c r="L698" s="16" t="n">
        <v>-1.99873352050781</v>
      </c>
      <c r="M698" s="16" t="s">
        <v>98</v>
      </c>
      <c r="N698" s="16" t="s">
        <v>4065</v>
      </c>
      <c r="O698" s="16"/>
      <c r="P698" s="16" t="s">
        <v>4066</v>
      </c>
      <c r="Q698" s="16" t="s">
        <v>100</v>
      </c>
    </row>
    <row r="699" customFormat="false" ht="15" hidden="false" customHeight="false" outlineLevel="0" collapsed="false">
      <c r="A699" s="16" t="n">
        <v>44188</v>
      </c>
      <c r="B699" s="16" t="s">
        <v>4067</v>
      </c>
      <c r="C699" s="16" t="s">
        <v>4068</v>
      </c>
      <c r="D699" s="16" t="s">
        <v>23</v>
      </c>
      <c r="E699" s="16" t="s">
        <v>94</v>
      </c>
      <c r="F699" s="16" t="s">
        <v>4063</v>
      </c>
      <c r="G699" s="16" t="s">
        <v>3592</v>
      </c>
      <c r="H699" s="16" t="s">
        <v>34</v>
      </c>
      <c r="I699" s="16" t="s">
        <v>34</v>
      </c>
      <c r="J699" s="16" t="s">
        <v>4069</v>
      </c>
      <c r="K699" s="16" t="n">
        <v>52.5379791259766</v>
      </c>
      <c r="L699" s="16" t="n">
        <v>-1.99198055267334</v>
      </c>
      <c r="M699" s="16" t="s">
        <v>98</v>
      </c>
      <c r="N699" s="16" t="s">
        <v>4070</v>
      </c>
      <c r="O699" s="16"/>
      <c r="P699" s="16"/>
      <c r="Q699" s="16" t="s">
        <v>100</v>
      </c>
    </row>
    <row r="700" customFormat="false" ht="15" hidden="false" customHeight="false" outlineLevel="0" collapsed="false">
      <c r="A700" s="16" t="n">
        <v>44189</v>
      </c>
      <c r="B700" s="16" t="s">
        <v>4071</v>
      </c>
      <c r="C700" s="16" t="s">
        <v>4072</v>
      </c>
      <c r="D700" s="16" t="s">
        <v>23</v>
      </c>
      <c r="E700" s="16" t="s">
        <v>94</v>
      </c>
      <c r="F700" s="16" t="s">
        <v>4063</v>
      </c>
      <c r="G700" s="16" t="s">
        <v>3592</v>
      </c>
      <c r="H700" s="16" t="s">
        <v>34</v>
      </c>
      <c r="I700" s="16" t="s">
        <v>34</v>
      </c>
      <c r="J700" s="16" t="s">
        <v>4073</v>
      </c>
      <c r="K700" s="16" t="n">
        <v>52.5278167724609</v>
      </c>
      <c r="L700" s="16" t="n">
        <v>-1.98642528057098</v>
      </c>
      <c r="M700" s="16" t="s">
        <v>98</v>
      </c>
      <c r="N700" s="16" t="s">
        <v>4074</v>
      </c>
      <c r="O700" s="16" t="s">
        <v>4075</v>
      </c>
      <c r="P700" s="16" t="s">
        <v>4066</v>
      </c>
      <c r="Q700" s="16" t="s">
        <v>100</v>
      </c>
    </row>
    <row r="701" customFormat="false" ht="15" hidden="false" customHeight="false" outlineLevel="0" collapsed="false">
      <c r="A701" s="16" t="n">
        <v>45362</v>
      </c>
      <c r="B701" s="16" t="s">
        <v>4076</v>
      </c>
      <c r="C701" s="16" t="s">
        <v>4077</v>
      </c>
      <c r="D701" s="16" t="s">
        <v>23</v>
      </c>
      <c r="E701" s="16" t="s">
        <v>94</v>
      </c>
      <c r="F701" s="16" t="s">
        <v>1541</v>
      </c>
      <c r="G701" s="16" t="s">
        <v>4078</v>
      </c>
      <c r="H701" s="16" t="s">
        <v>55</v>
      </c>
      <c r="I701" s="16" t="s">
        <v>31</v>
      </c>
      <c r="J701" s="16" t="s">
        <v>4079</v>
      </c>
      <c r="K701" s="16" t="n">
        <v>53.1956481933594</v>
      </c>
      <c r="L701" s="16" t="n">
        <v>-2.5316903591156</v>
      </c>
      <c r="M701" s="16" t="s">
        <v>98</v>
      </c>
      <c r="N701" s="16" t="s">
        <v>4080</v>
      </c>
      <c r="O701" s="16"/>
      <c r="P701" s="16" t="s">
        <v>1551</v>
      </c>
      <c r="Q701" s="16" t="s">
        <v>100</v>
      </c>
    </row>
    <row r="702" customFormat="false" ht="15" hidden="false" customHeight="false" outlineLevel="0" collapsed="false">
      <c r="A702" s="16" t="n">
        <v>45365</v>
      </c>
      <c r="B702" s="16" t="s">
        <v>4081</v>
      </c>
      <c r="C702" s="16" t="s">
        <v>4082</v>
      </c>
      <c r="D702" s="16" t="s">
        <v>23</v>
      </c>
      <c r="E702" s="16" t="s">
        <v>94</v>
      </c>
      <c r="F702" s="16" t="s">
        <v>3413</v>
      </c>
      <c r="G702" s="16" t="s">
        <v>1192</v>
      </c>
      <c r="H702" s="16" t="s">
        <v>694</v>
      </c>
      <c r="I702" s="16" t="s">
        <v>36</v>
      </c>
      <c r="J702" s="16" t="s">
        <v>4083</v>
      </c>
      <c r="K702" s="16" t="n">
        <v>52.9519805908203</v>
      </c>
      <c r="L702" s="16" t="n">
        <v>-1.1563321352005</v>
      </c>
      <c r="M702" s="16" t="s">
        <v>98</v>
      </c>
      <c r="N702" s="16" t="s">
        <v>4084</v>
      </c>
      <c r="O702" s="16"/>
      <c r="P702" s="16"/>
      <c r="Q702" s="16" t="s">
        <v>100</v>
      </c>
    </row>
    <row r="703" customFormat="false" ht="15" hidden="false" customHeight="false" outlineLevel="0" collapsed="false">
      <c r="A703" s="16" t="n">
        <v>45407</v>
      </c>
      <c r="B703" s="16" t="s">
        <v>4085</v>
      </c>
      <c r="C703" s="16" t="s">
        <v>4086</v>
      </c>
      <c r="D703" s="16" t="s">
        <v>23</v>
      </c>
      <c r="E703" s="16" t="s">
        <v>94</v>
      </c>
      <c r="F703" s="16" t="s">
        <v>3457</v>
      </c>
      <c r="G703" s="16" t="s">
        <v>3647</v>
      </c>
      <c r="H703" s="16" t="s">
        <v>942</v>
      </c>
      <c r="I703" s="16" t="s">
        <v>37</v>
      </c>
      <c r="J703" s="16" t="s">
        <v>4087</v>
      </c>
      <c r="K703" s="16" t="n">
        <v>54.8004302978516</v>
      </c>
      <c r="L703" s="16" t="n">
        <v>-1.61222553253174</v>
      </c>
      <c r="M703" s="16" t="s">
        <v>98</v>
      </c>
      <c r="N703" s="16" t="s">
        <v>4088</v>
      </c>
      <c r="O703" s="16"/>
      <c r="P703" s="16" t="s">
        <v>4089</v>
      </c>
      <c r="Q703" s="16" t="s">
        <v>100</v>
      </c>
    </row>
    <row r="704" customFormat="false" ht="15" hidden="false" customHeight="false" outlineLevel="0" collapsed="false">
      <c r="A704" s="16" t="n">
        <v>45473</v>
      </c>
      <c r="B704" s="16" t="s">
        <v>4090</v>
      </c>
      <c r="C704" s="16" t="s">
        <v>4091</v>
      </c>
      <c r="D704" s="16" t="s">
        <v>23</v>
      </c>
      <c r="E704" s="16" t="s">
        <v>94</v>
      </c>
      <c r="F704" s="16" t="s">
        <v>4092</v>
      </c>
      <c r="G704" s="16" t="s">
        <v>1142</v>
      </c>
      <c r="H704" s="16" t="s">
        <v>208</v>
      </c>
      <c r="I704" s="16" t="s">
        <v>30</v>
      </c>
      <c r="J704" s="16" t="s">
        <v>4093</v>
      </c>
      <c r="K704" s="16" t="n">
        <v>51.8661117553711</v>
      </c>
      <c r="L704" s="16" t="n">
        <v>-2.20442032814026</v>
      </c>
      <c r="M704" s="16" t="s">
        <v>98</v>
      </c>
      <c r="N704" s="16" t="s">
        <v>4094</v>
      </c>
      <c r="O704" s="16"/>
      <c r="P704" s="16" t="s">
        <v>4095</v>
      </c>
      <c r="Q704" s="16" t="s">
        <v>100</v>
      </c>
    </row>
    <row r="705" customFormat="false" ht="15" hidden="false" customHeight="false" outlineLevel="0" collapsed="false">
      <c r="A705" s="16" t="n">
        <v>45485</v>
      </c>
      <c r="B705" s="16" t="s">
        <v>4096</v>
      </c>
      <c r="C705" s="16" t="s">
        <v>4097</v>
      </c>
      <c r="D705" s="16" t="s">
        <v>23</v>
      </c>
      <c r="E705" s="16" t="s">
        <v>94</v>
      </c>
      <c r="F705" s="16" t="s">
        <v>4098</v>
      </c>
      <c r="G705" s="16" t="s">
        <v>401</v>
      </c>
      <c r="H705" s="16" t="s">
        <v>49</v>
      </c>
      <c r="I705" s="16" t="s">
        <v>32</v>
      </c>
      <c r="J705" s="16" t="s">
        <v>4099</v>
      </c>
      <c r="K705" s="16" t="n">
        <v>51.5779914855957</v>
      </c>
      <c r="L705" s="16" t="n">
        <v>0.110501930117607</v>
      </c>
      <c r="M705" s="16" t="s">
        <v>98</v>
      </c>
      <c r="N705" s="16" t="s">
        <v>4100</v>
      </c>
      <c r="O705" s="16"/>
      <c r="P705" s="16" t="s">
        <v>4101</v>
      </c>
      <c r="Q705" s="16" t="s">
        <v>100</v>
      </c>
    </row>
    <row r="706" customFormat="false" ht="15" hidden="false" customHeight="false" outlineLevel="0" collapsed="false">
      <c r="A706" s="16" t="n">
        <v>45488</v>
      </c>
      <c r="B706" s="16" t="s">
        <v>4102</v>
      </c>
      <c r="C706" s="16" t="s">
        <v>4103</v>
      </c>
      <c r="D706" s="16" t="s">
        <v>23</v>
      </c>
      <c r="E706" s="16" t="s">
        <v>94</v>
      </c>
      <c r="F706" s="16" t="s">
        <v>1732</v>
      </c>
      <c r="G706" s="16" t="s">
        <v>4104</v>
      </c>
      <c r="H706" s="16" t="s">
        <v>3533</v>
      </c>
      <c r="I706" s="16" t="s">
        <v>29</v>
      </c>
      <c r="J706" s="16" t="s">
        <v>4105</v>
      </c>
      <c r="K706" s="16" t="n">
        <v>50.8544769287109</v>
      </c>
      <c r="L706" s="16" t="n">
        <v>-0.565244734287262</v>
      </c>
      <c r="M706" s="16" t="s">
        <v>98</v>
      </c>
      <c r="N706" s="16" t="s">
        <v>4106</v>
      </c>
      <c r="O706" s="16"/>
      <c r="P706" s="16" t="s">
        <v>4107</v>
      </c>
      <c r="Q706" s="16" t="s">
        <v>100</v>
      </c>
    </row>
    <row r="707" customFormat="false" ht="15" hidden="false" customHeight="false" outlineLevel="0" collapsed="false">
      <c r="A707" s="16" t="n">
        <v>45492</v>
      </c>
      <c r="B707" s="16" t="s">
        <v>4108</v>
      </c>
      <c r="C707" s="16" t="s">
        <v>4109</v>
      </c>
      <c r="D707" s="16" t="s">
        <v>23</v>
      </c>
      <c r="E707" s="16" t="s">
        <v>94</v>
      </c>
      <c r="F707" s="16" t="s">
        <v>74</v>
      </c>
      <c r="G707" s="16" t="s">
        <v>551</v>
      </c>
      <c r="H707" s="16" t="s">
        <v>552</v>
      </c>
      <c r="I707" s="16" t="s">
        <v>35</v>
      </c>
      <c r="J707" s="16" t="s">
        <v>4110</v>
      </c>
      <c r="K707" s="16" t="n">
        <v>53.770565032959</v>
      </c>
      <c r="L707" s="16" t="n">
        <v>-0.376976817846298</v>
      </c>
      <c r="M707" s="16" t="s">
        <v>98</v>
      </c>
      <c r="N707" s="16" t="s">
        <v>4111</v>
      </c>
      <c r="O707" s="16" t="s">
        <v>3081</v>
      </c>
      <c r="P707" s="16" t="s">
        <v>3082</v>
      </c>
      <c r="Q707" s="16" t="s">
        <v>100</v>
      </c>
    </row>
    <row r="708" customFormat="false" ht="15" hidden="false" customHeight="false" outlineLevel="0" collapsed="false">
      <c r="A708" s="16" t="n">
        <v>45548</v>
      </c>
      <c r="B708" s="16" t="s">
        <v>4112</v>
      </c>
      <c r="C708" s="16" t="s">
        <v>4113</v>
      </c>
      <c r="D708" s="16" t="s">
        <v>23</v>
      </c>
      <c r="E708" s="16" t="s">
        <v>94</v>
      </c>
      <c r="F708" s="16" t="s">
        <v>2591</v>
      </c>
      <c r="G708" s="16" t="s">
        <v>4114</v>
      </c>
      <c r="H708" s="16" t="s">
        <v>2585</v>
      </c>
      <c r="I708" s="16" t="s">
        <v>31</v>
      </c>
      <c r="J708" s="16" t="s">
        <v>4115</v>
      </c>
      <c r="K708" s="16" t="n">
        <v>54.9386672973633</v>
      </c>
      <c r="L708" s="16" t="n">
        <v>-2.72717595100403</v>
      </c>
      <c r="M708" s="16" t="s">
        <v>98</v>
      </c>
      <c r="N708" s="16" t="s">
        <v>4116</v>
      </c>
      <c r="O708" s="16"/>
      <c r="P708" s="16" t="s">
        <v>4117</v>
      </c>
      <c r="Q708" s="16" t="s">
        <v>100</v>
      </c>
    </row>
    <row r="709" customFormat="false" ht="15" hidden="false" customHeight="false" outlineLevel="0" collapsed="false">
      <c r="A709" s="16" t="n">
        <v>45555</v>
      </c>
      <c r="B709" s="16" t="s">
        <v>4118</v>
      </c>
      <c r="C709" s="16" t="s">
        <v>4119</v>
      </c>
      <c r="D709" s="16" t="s">
        <v>23</v>
      </c>
      <c r="E709" s="16" t="s">
        <v>94</v>
      </c>
      <c r="F709" s="16" t="s">
        <v>2591</v>
      </c>
      <c r="G709" s="16" t="s">
        <v>4120</v>
      </c>
      <c r="H709" s="16" t="s">
        <v>2433</v>
      </c>
      <c r="I709" s="16" t="s">
        <v>38</v>
      </c>
      <c r="J709" s="16" t="s">
        <v>4121</v>
      </c>
      <c r="K709" s="16" t="n">
        <v>54.8304443359375</v>
      </c>
      <c r="L709" s="16" t="n">
        <v>-3.17138695716858</v>
      </c>
      <c r="M709" s="16" t="s">
        <v>98</v>
      </c>
      <c r="N709" s="16" t="s">
        <v>4122</v>
      </c>
      <c r="O709" s="16"/>
      <c r="P709" s="16" t="s">
        <v>2595</v>
      </c>
      <c r="Q709" s="16" t="s">
        <v>100</v>
      </c>
    </row>
    <row r="710" customFormat="false" ht="15" hidden="false" customHeight="false" outlineLevel="0" collapsed="false">
      <c r="A710" s="16" t="n">
        <v>45556</v>
      </c>
      <c r="B710" s="16" t="s">
        <v>4123</v>
      </c>
      <c r="C710" s="16" t="s">
        <v>4124</v>
      </c>
      <c r="D710" s="16" t="s">
        <v>23</v>
      </c>
      <c r="E710" s="16" t="s">
        <v>94</v>
      </c>
      <c r="F710" s="16" t="s">
        <v>2591</v>
      </c>
      <c r="G710" s="16" t="s">
        <v>4125</v>
      </c>
      <c r="H710" s="16" t="s">
        <v>2585</v>
      </c>
      <c r="I710" s="16" t="s">
        <v>31</v>
      </c>
      <c r="J710" s="16" t="s">
        <v>4126</v>
      </c>
      <c r="K710" s="16" t="n">
        <v>54.642692565918</v>
      </c>
      <c r="L710" s="16" t="n">
        <v>-3.55132699012756</v>
      </c>
      <c r="M710" s="16" t="s">
        <v>98</v>
      </c>
      <c r="N710" s="16" t="s">
        <v>4127</v>
      </c>
      <c r="O710" s="16"/>
      <c r="P710" s="16" t="s">
        <v>2595</v>
      </c>
      <c r="Q710" s="16" t="s">
        <v>100</v>
      </c>
    </row>
    <row r="711" customFormat="false" ht="15" hidden="false" customHeight="false" outlineLevel="0" collapsed="false">
      <c r="A711" s="16" t="n">
        <v>45629</v>
      </c>
      <c r="B711" s="16" t="s">
        <v>4128</v>
      </c>
      <c r="C711" s="16" t="s">
        <v>4129</v>
      </c>
      <c r="D711" s="16" t="s">
        <v>23</v>
      </c>
      <c r="E711" s="16" t="s">
        <v>94</v>
      </c>
      <c r="F711" s="16" t="s">
        <v>3488</v>
      </c>
      <c r="G711" s="16" t="s">
        <v>4130</v>
      </c>
      <c r="H711" s="16" t="s">
        <v>279</v>
      </c>
      <c r="I711" s="16" t="s">
        <v>37</v>
      </c>
      <c r="J711" s="16" t="s">
        <v>4131</v>
      </c>
      <c r="K711" s="16" t="n">
        <v>54.9893684387207</v>
      </c>
      <c r="L711" s="16" t="n">
        <v>-1.56160044670105</v>
      </c>
      <c r="M711" s="16" t="s">
        <v>98</v>
      </c>
      <c r="N711" s="16" t="s">
        <v>4132</v>
      </c>
      <c r="O711" s="16"/>
      <c r="P711" s="16" t="s">
        <v>3491</v>
      </c>
      <c r="Q711" s="16" t="s">
        <v>100</v>
      </c>
    </row>
    <row r="712" customFormat="false" ht="15" hidden="false" customHeight="false" outlineLevel="0" collapsed="false">
      <c r="A712" s="16" t="n">
        <v>45964</v>
      </c>
      <c r="B712" s="16" t="s">
        <v>4133</v>
      </c>
      <c r="C712" s="16" t="s">
        <v>4134</v>
      </c>
      <c r="D712" s="16" t="s">
        <v>22</v>
      </c>
      <c r="E712" s="16" t="s">
        <v>94</v>
      </c>
      <c r="F712" s="16" t="s">
        <v>4135</v>
      </c>
      <c r="G712" s="16" t="s">
        <v>1074</v>
      </c>
      <c r="H712" s="16" t="s">
        <v>46</v>
      </c>
      <c r="I712" s="16" t="s">
        <v>29</v>
      </c>
      <c r="J712" s="16" t="s">
        <v>4136</v>
      </c>
      <c r="K712" s="16" t="n">
        <v>51.2836303710938</v>
      </c>
      <c r="L712" s="16" t="n">
        <v>-0.0852142497897148</v>
      </c>
      <c r="M712" s="16" t="s">
        <v>98</v>
      </c>
      <c r="N712" s="16" t="s">
        <v>4137</v>
      </c>
      <c r="O712" s="16"/>
      <c r="P712" s="16" t="s">
        <v>4138</v>
      </c>
      <c r="Q712" s="16" t="s">
        <v>100</v>
      </c>
    </row>
    <row r="713" customFormat="false" ht="15" hidden="false" customHeight="false" outlineLevel="0" collapsed="false">
      <c r="A713" s="16" t="n">
        <v>46506</v>
      </c>
      <c r="B713" s="16" t="s">
        <v>4139</v>
      </c>
      <c r="C713" s="16" t="s">
        <v>4140</v>
      </c>
      <c r="D713" s="16" t="s">
        <v>23</v>
      </c>
      <c r="E713" s="16" t="s">
        <v>94</v>
      </c>
      <c r="F713" s="16" t="s">
        <v>4141</v>
      </c>
      <c r="G713" s="16" t="s">
        <v>4142</v>
      </c>
      <c r="H713" s="16" t="s">
        <v>330</v>
      </c>
      <c r="I713" s="16" t="s">
        <v>29</v>
      </c>
      <c r="J713" s="16" t="s">
        <v>4143</v>
      </c>
      <c r="K713" s="16" t="n">
        <v>51.5387382507324</v>
      </c>
      <c r="L713" s="16" t="n">
        <v>-0.907917499542236</v>
      </c>
      <c r="M713" s="16" t="s">
        <v>98</v>
      </c>
      <c r="N713" s="16" t="s">
        <v>4144</v>
      </c>
      <c r="O713" s="16"/>
      <c r="P713" s="16" t="s">
        <v>4145</v>
      </c>
      <c r="Q713" s="16" t="s">
        <v>100</v>
      </c>
    </row>
    <row r="714" customFormat="false" ht="15" hidden="false" customHeight="false" outlineLevel="0" collapsed="false">
      <c r="A714" s="16" t="n">
        <v>46583</v>
      </c>
      <c r="B714" s="16" t="s">
        <v>4146</v>
      </c>
      <c r="C714" s="16" t="s">
        <v>4147</v>
      </c>
      <c r="D714" s="16" t="s">
        <v>23</v>
      </c>
      <c r="E714" s="16" t="s">
        <v>94</v>
      </c>
      <c r="F714" s="16" t="s">
        <v>3348</v>
      </c>
      <c r="G714" s="16" t="s">
        <v>33</v>
      </c>
      <c r="H714" s="16" t="s">
        <v>44</v>
      </c>
      <c r="I714" s="16" t="s">
        <v>33</v>
      </c>
      <c r="J714" s="16" t="s">
        <v>4148</v>
      </c>
      <c r="K714" s="16" t="n">
        <v>51.5204734802246</v>
      </c>
      <c r="L714" s="16" t="n">
        <v>0.0384199917316436</v>
      </c>
      <c r="M714" s="16" t="s">
        <v>98</v>
      </c>
      <c r="N714" s="16" t="s">
        <v>4149</v>
      </c>
      <c r="O714" s="16"/>
      <c r="P714" s="16"/>
      <c r="Q714" s="16" t="s">
        <v>100</v>
      </c>
    </row>
    <row r="715" customFormat="false" ht="15" hidden="false" customHeight="false" outlineLevel="0" collapsed="false">
      <c r="A715" s="16" t="n">
        <v>46584</v>
      </c>
      <c r="B715" s="16" t="s">
        <v>4150</v>
      </c>
      <c r="C715" s="16" t="s">
        <v>4151</v>
      </c>
      <c r="D715" s="16" t="s">
        <v>23</v>
      </c>
      <c r="E715" s="16" t="s">
        <v>94</v>
      </c>
      <c r="F715" s="16" t="s">
        <v>3348</v>
      </c>
      <c r="G715" s="16" t="s">
        <v>33</v>
      </c>
      <c r="H715" s="16" t="s">
        <v>44</v>
      </c>
      <c r="I715" s="16" t="s">
        <v>33</v>
      </c>
      <c r="J715" s="16" t="s">
        <v>4152</v>
      </c>
      <c r="K715" s="16" t="n">
        <v>51.5480308532715</v>
      </c>
      <c r="L715" s="16" t="n">
        <v>-0.0376718193292617</v>
      </c>
      <c r="M715" s="16" t="s">
        <v>98</v>
      </c>
      <c r="N715" s="16" t="s">
        <v>4153</v>
      </c>
      <c r="O715" s="16"/>
      <c r="P715" s="16"/>
      <c r="Q715" s="16" t="s">
        <v>100</v>
      </c>
    </row>
    <row r="716" customFormat="false" ht="15" hidden="false" customHeight="false" outlineLevel="0" collapsed="false">
      <c r="A716" s="16" t="n">
        <v>46586</v>
      </c>
      <c r="B716" s="16" t="s">
        <v>4154</v>
      </c>
      <c r="C716" s="16" t="s">
        <v>4155</v>
      </c>
      <c r="D716" s="16" t="s">
        <v>23</v>
      </c>
      <c r="E716" s="16" t="s">
        <v>94</v>
      </c>
      <c r="F716" s="16" t="s">
        <v>3348</v>
      </c>
      <c r="G716" s="16" t="s">
        <v>33</v>
      </c>
      <c r="H716" s="16" t="s">
        <v>44</v>
      </c>
      <c r="I716" s="16" t="s">
        <v>33</v>
      </c>
      <c r="J716" s="16" t="s">
        <v>4156</v>
      </c>
      <c r="K716" s="16" t="n">
        <v>51.5409278869629</v>
      </c>
      <c r="L716" s="16" t="n">
        <v>0.0432997494935989</v>
      </c>
      <c r="M716" s="16" t="s">
        <v>98</v>
      </c>
      <c r="N716" s="16" t="s">
        <v>4157</v>
      </c>
      <c r="O716" s="16"/>
      <c r="P716" s="16"/>
      <c r="Q716" s="16" t="s">
        <v>100</v>
      </c>
    </row>
    <row r="717" customFormat="false" ht="15" hidden="false" customHeight="false" outlineLevel="0" collapsed="false">
      <c r="A717" s="16" t="n">
        <v>46607</v>
      </c>
      <c r="B717" s="16" t="s">
        <v>4158</v>
      </c>
      <c r="C717" s="16" t="s">
        <v>4159</v>
      </c>
      <c r="D717" s="16" t="s">
        <v>23</v>
      </c>
      <c r="E717" s="16" t="s">
        <v>94</v>
      </c>
      <c r="F717" s="16" t="s">
        <v>3395</v>
      </c>
      <c r="G717" s="16" t="s">
        <v>4160</v>
      </c>
      <c r="H717" s="16" t="s">
        <v>510</v>
      </c>
      <c r="I717" s="16" t="s">
        <v>29</v>
      </c>
      <c r="J717" s="16" t="s">
        <v>4161</v>
      </c>
      <c r="K717" s="16" t="n">
        <v>51.4104042053223</v>
      </c>
      <c r="L717" s="16" t="n">
        <v>-0.843685388565063</v>
      </c>
      <c r="M717" s="16" t="s">
        <v>98</v>
      </c>
      <c r="N717" s="16" t="s">
        <v>4162</v>
      </c>
      <c r="O717" s="16"/>
      <c r="P717" s="16" t="s">
        <v>4163</v>
      </c>
      <c r="Q717" s="16" t="s">
        <v>100</v>
      </c>
    </row>
    <row r="718" customFormat="false" ht="15" hidden="false" customHeight="false" outlineLevel="0" collapsed="false">
      <c r="A718" s="16" t="n">
        <v>46615</v>
      </c>
      <c r="B718" s="16" t="s">
        <v>4164</v>
      </c>
      <c r="C718" s="16" t="s">
        <v>4165</v>
      </c>
      <c r="D718" s="16" t="s">
        <v>23</v>
      </c>
      <c r="E718" s="16" t="s">
        <v>94</v>
      </c>
      <c r="F718" s="16" t="s">
        <v>2755</v>
      </c>
      <c r="G718" s="16" t="s">
        <v>2385</v>
      </c>
      <c r="H718" s="16" t="s">
        <v>54</v>
      </c>
      <c r="I718" s="16" t="s">
        <v>35</v>
      </c>
      <c r="J718" s="16" t="s">
        <v>4166</v>
      </c>
      <c r="K718" s="16" t="n">
        <v>51.4667129516602</v>
      </c>
      <c r="L718" s="16" t="n">
        <v>-0.300415009260178</v>
      </c>
      <c r="M718" s="16" t="s">
        <v>98</v>
      </c>
      <c r="N718" s="16" t="s">
        <v>4167</v>
      </c>
      <c r="O718" s="16"/>
      <c r="P718" s="16"/>
      <c r="Q718" s="16" t="s">
        <v>100</v>
      </c>
    </row>
    <row r="719" customFormat="false" ht="15" hidden="false" customHeight="false" outlineLevel="0" collapsed="false">
      <c r="A719" s="16" t="n">
        <v>46651</v>
      </c>
      <c r="B719" s="16" t="s">
        <v>4168</v>
      </c>
      <c r="C719" s="16" t="s">
        <v>4169</v>
      </c>
      <c r="D719" s="16" t="s">
        <v>23</v>
      </c>
      <c r="E719" s="16" t="s">
        <v>94</v>
      </c>
      <c r="F719" s="16" t="s">
        <v>1400</v>
      </c>
      <c r="G719" s="16" t="s">
        <v>1401</v>
      </c>
      <c r="H719" s="16" t="s">
        <v>50</v>
      </c>
      <c r="I719" s="16" t="s">
        <v>35</v>
      </c>
      <c r="J719" s="16" t="s">
        <v>4170</v>
      </c>
      <c r="K719" s="16" t="n">
        <v>53.7689170837402</v>
      </c>
      <c r="L719" s="16" t="n">
        <v>-1.81042814254761</v>
      </c>
      <c r="M719" s="16" t="s">
        <v>98</v>
      </c>
      <c r="N719" s="16" t="s">
        <v>4171</v>
      </c>
      <c r="O719" s="16"/>
      <c r="P719" s="16"/>
      <c r="Q719" s="16" t="s">
        <v>100</v>
      </c>
    </row>
    <row r="720" customFormat="false" ht="15" hidden="false" customHeight="false" outlineLevel="0" collapsed="false">
      <c r="A720" s="16" t="n">
        <v>46715</v>
      </c>
      <c r="B720" s="16" t="s">
        <v>4172</v>
      </c>
      <c r="C720" s="16" t="s">
        <v>4173</v>
      </c>
      <c r="D720" s="16" t="s">
        <v>22</v>
      </c>
      <c r="E720" s="16" t="s">
        <v>94</v>
      </c>
      <c r="F720" s="16" t="s">
        <v>4174</v>
      </c>
      <c r="G720" s="16" t="s">
        <v>1088</v>
      </c>
      <c r="H720" s="16" t="s">
        <v>49</v>
      </c>
      <c r="I720" s="16" t="s">
        <v>32</v>
      </c>
      <c r="J720" s="16" t="s">
        <v>1715</v>
      </c>
      <c r="K720" s="16" t="n">
        <v>51.9101638793945</v>
      </c>
      <c r="L720" s="16" t="n">
        <v>0.899196803569794</v>
      </c>
      <c r="M720" s="16" t="s">
        <v>98</v>
      </c>
      <c r="N720" s="16" t="s">
        <v>4175</v>
      </c>
      <c r="O720" s="16" t="s">
        <v>4176</v>
      </c>
      <c r="P720" s="16" t="s">
        <v>4177</v>
      </c>
      <c r="Q720" s="16" t="s">
        <v>100</v>
      </c>
    </row>
    <row r="721" customFormat="false" ht="15" hidden="false" customHeight="false" outlineLevel="0" collapsed="false">
      <c r="A721" s="16" t="n">
        <v>58425</v>
      </c>
      <c r="B721" s="16" t="s">
        <v>4178</v>
      </c>
      <c r="C721" s="16" t="s">
        <v>4179</v>
      </c>
      <c r="D721" s="16" t="s">
        <v>23</v>
      </c>
      <c r="E721" s="16" t="s">
        <v>94</v>
      </c>
      <c r="F721" s="16" t="s">
        <v>4180</v>
      </c>
      <c r="G721" s="16" t="s">
        <v>116</v>
      </c>
      <c r="H721" s="16" t="s">
        <v>117</v>
      </c>
      <c r="I721" s="16" t="s">
        <v>31</v>
      </c>
      <c r="J721" s="16" t="s">
        <v>4181</v>
      </c>
      <c r="K721" s="16" t="n">
        <v>53.4540634155273</v>
      </c>
      <c r="L721" s="16" t="n">
        <v>-2.37066578865051</v>
      </c>
      <c r="M721" s="16" t="s">
        <v>100</v>
      </c>
      <c r="N721" s="16"/>
      <c r="O721" s="16"/>
      <c r="P721" s="16"/>
      <c r="Q721" s="16" t="s">
        <v>100</v>
      </c>
    </row>
    <row r="722" customFormat="false" ht="15" hidden="false" customHeight="false" outlineLevel="0" collapsed="false">
      <c r="A722" s="16" t="n">
        <v>58580</v>
      </c>
      <c r="B722" s="16" t="s">
        <v>4182</v>
      </c>
      <c r="C722" s="16" t="s">
        <v>4183</v>
      </c>
      <c r="D722" s="16" t="s">
        <v>23</v>
      </c>
      <c r="E722" s="16" t="s">
        <v>94</v>
      </c>
      <c r="F722" s="16" t="s">
        <v>4184</v>
      </c>
      <c r="G722" s="16" t="s">
        <v>4185</v>
      </c>
      <c r="H722" s="16" t="s">
        <v>552</v>
      </c>
      <c r="I722" s="16" t="s">
        <v>35</v>
      </c>
      <c r="J722" s="16" t="s">
        <v>4186</v>
      </c>
      <c r="K722" s="16" t="n">
        <v>54.0865325927734</v>
      </c>
      <c r="L722" s="16" t="n">
        <v>-0.215725004673004</v>
      </c>
      <c r="M722" s="16" t="s">
        <v>98</v>
      </c>
      <c r="N722" s="16" t="s">
        <v>4187</v>
      </c>
      <c r="O722" s="16"/>
      <c r="P722" s="16"/>
      <c r="Q722" s="16" t="s">
        <v>100</v>
      </c>
    </row>
    <row r="723" customFormat="false" ht="15" hidden="false" customHeight="false" outlineLevel="0" collapsed="false">
      <c r="A723" s="16" t="n">
        <v>58612</v>
      </c>
      <c r="B723" s="16" t="s">
        <v>4188</v>
      </c>
      <c r="C723" s="16" t="s">
        <v>4189</v>
      </c>
      <c r="D723" s="16" t="s">
        <v>23</v>
      </c>
      <c r="E723" s="16" t="s">
        <v>94</v>
      </c>
      <c r="F723" s="16" t="s">
        <v>65</v>
      </c>
      <c r="G723" s="16" t="s">
        <v>4041</v>
      </c>
      <c r="H723" s="16" t="s">
        <v>45</v>
      </c>
      <c r="I723" s="16" t="s">
        <v>29</v>
      </c>
      <c r="J723" s="16" t="s">
        <v>4190</v>
      </c>
      <c r="K723" s="16" t="n">
        <v>51.271598815918</v>
      </c>
      <c r="L723" s="16" t="n">
        <v>0.230079010128975</v>
      </c>
      <c r="M723" s="16" t="s">
        <v>98</v>
      </c>
      <c r="N723" s="16" t="s">
        <v>4191</v>
      </c>
      <c r="O723" s="16" t="s">
        <v>4192</v>
      </c>
      <c r="P723" s="16" t="s">
        <v>4193</v>
      </c>
      <c r="Q723" s="16" t="s">
        <v>100</v>
      </c>
    </row>
    <row r="724" customFormat="false" ht="15" hidden="false" customHeight="false" outlineLevel="0" collapsed="false">
      <c r="A724" s="16" t="n">
        <v>58613</v>
      </c>
      <c r="B724" s="16" t="s">
        <v>4194</v>
      </c>
      <c r="C724" s="16" t="s">
        <v>4195</v>
      </c>
      <c r="D724" s="16" t="s">
        <v>23</v>
      </c>
      <c r="E724" s="16" t="s">
        <v>94</v>
      </c>
      <c r="F724" s="16" t="s">
        <v>65</v>
      </c>
      <c r="G724" s="16" t="s">
        <v>1401</v>
      </c>
      <c r="H724" s="16" t="s">
        <v>50</v>
      </c>
      <c r="I724" s="16" t="s">
        <v>35</v>
      </c>
      <c r="J724" s="16" t="s">
        <v>4196</v>
      </c>
      <c r="K724" s="16" t="n">
        <v>53.7685050964355</v>
      </c>
      <c r="L724" s="16" t="n">
        <v>-1.73210120201111</v>
      </c>
      <c r="M724" s="16" t="s">
        <v>98</v>
      </c>
      <c r="N724" s="16" t="s">
        <v>4197</v>
      </c>
      <c r="O724" s="16" t="s">
        <v>4198</v>
      </c>
      <c r="P724" s="16" t="s">
        <v>4199</v>
      </c>
      <c r="Q724" s="16" t="s">
        <v>100</v>
      </c>
    </row>
    <row r="725" customFormat="false" ht="15" hidden="false" customHeight="false" outlineLevel="0" collapsed="false">
      <c r="A725" s="16" t="n">
        <v>58614</v>
      </c>
      <c r="B725" s="16" t="s">
        <v>4200</v>
      </c>
      <c r="C725" s="16" t="s">
        <v>4201</v>
      </c>
      <c r="D725" s="16" t="s">
        <v>23</v>
      </c>
      <c r="E725" s="16" t="s">
        <v>94</v>
      </c>
      <c r="F725" s="16" t="s">
        <v>65</v>
      </c>
      <c r="G725" s="16" t="s">
        <v>1353</v>
      </c>
      <c r="H725" s="16" t="s">
        <v>56</v>
      </c>
      <c r="I725" s="16" t="s">
        <v>30</v>
      </c>
      <c r="J725" s="16" t="s">
        <v>4202</v>
      </c>
      <c r="K725" s="16" t="n">
        <v>51.3658752441406</v>
      </c>
      <c r="L725" s="16" t="n">
        <v>-2.9642186164856</v>
      </c>
      <c r="M725" s="16" t="s">
        <v>98</v>
      </c>
      <c r="N725" s="16" t="s">
        <v>4203</v>
      </c>
      <c r="O725" s="16" t="s">
        <v>4204</v>
      </c>
      <c r="P725" s="16" t="s">
        <v>4205</v>
      </c>
      <c r="Q725" s="16" t="s">
        <v>100</v>
      </c>
    </row>
    <row r="726" customFormat="false" ht="15" hidden="false" customHeight="false" outlineLevel="0" collapsed="false">
      <c r="A726" s="16" t="n">
        <v>58618</v>
      </c>
      <c r="B726" s="16" t="s">
        <v>4206</v>
      </c>
      <c r="C726" s="16" t="s">
        <v>4207</v>
      </c>
      <c r="D726" s="16" t="s">
        <v>23</v>
      </c>
      <c r="E726" s="16" t="s">
        <v>94</v>
      </c>
      <c r="F726" s="16" t="s">
        <v>979</v>
      </c>
      <c r="G726" s="16" t="s">
        <v>1401</v>
      </c>
      <c r="H726" s="16" t="s">
        <v>50</v>
      </c>
      <c r="I726" s="16" t="s">
        <v>35</v>
      </c>
      <c r="J726" s="16" t="s">
        <v>4208</v>
      </c>
      <c r="K726" s="16" t="n">
        <v>53.8323974609375</v>
      </c>
      <c r="L726" s="16" t="n">
        <v>-1.71036124229431</v>
      </c>
      <c r="M726" s="16" t="s">
        <v>98</v>
      </c>
      <c r="N726" s="16" t="s">
        <v>4209</v>
      </c>
      <c r="O726" s="16" t="s">
        <v>4210</v>
      </c>
      <c r="P726" s="16" t="s">
        <v>983</v>
      </c>
      <c r="Q726" s="16" t="s">
        <v>100</v>
      </c>
    </row>
    <row r="727" customFormat="false" ht="15" hidden="false" customHeight="false" outlineLevel="0" collapsed="false">
      <c r="A727" s="16" t="n">
        <v>58619</v>
      </c>
      <c r="B727" s="16" t="s">
        <v>4211</v>
      </c>
      <c r="C727" s="16" t="s">
        <v>4212</v>
      </c>
      <c r="D727" s="16" t="s">
        <v>23</v>
      </c>
      <c r="E727" s="16" t="s">
        <v>94</v>
      </c>
      <c r="F727" s="16" t="s">
        <v>979</v>
      </c>
      <c r="G727" s="16" t="s">
        <v>235</v>
      </c>
      <c r="H727" s="16" t="s">
        <v>46</v>
      </c>
      <c r="I727" s="16" t="s">
        <v>29</v>
      </c>
      <c r="J727" s="16" t="s">
        <v>4213</v>
      </c>
      <c r="K727" s="16" t="n">
        <v>51.2411575317383</v>
      </c>
      <c r="L727" s="16" t="n">
        <v>-0.613246142864227</v>
      </c>
      <c r="M727" s="16" t="s">
        <v>98</v>
      </c>
      <c r="N727" s="16" t="s">
        <v>4214</v>
      </c>
      <c r="O727" s="16" t="s">
        <v>4215</v>
      </c>
      <c r="P727" s="16" t="s">
        <v>983</v>
      </c>
      <c r="Q727" s="16" t="s">
        <v>100</v>
      </c>
    </row>
    <row r="728" customFormat="false" ht="15" hidden="false" customHeight="false" outlineLevel="0" collapsed="false">
      <c r="A728" s="16" t="n">
        <v>58620</v>
      </c>
      <c r="B728" s="16" t="s">
        <v>4216</v>
      </c>
      <c r="C728" s="16" t="s">
        <v>4217</v>
      </c>
      <c r="D728" s="16" t="s">
        <v>23</v>
      </c>
      <c r="E728" s="16" t="s">
        <v>94</v>
      </c>
      <c r="F728" s="16" t="s">
        <v>979</v>
      </c>
      <c r="G728" s="16" t="s">
        <v>116</v>
      </c>
      <c r="H728" s="16" t="s">
        <v>117</v>
      </c>
      <c r="I728" s="16" t="s">
        <v>31</v>
      </c>
      <c r="J728" s="16" t="s">
        <v>4218</v>
      </c>
      <c r="K728" s="16" t="n">
        <v>53.4300994873047</v>
      </c>
      <c r="L728" s="16" t="n">
        <v>-2.24993324279785</v>
      </c>
      <c r="M728" s="16" t="s">
        <v>98</v>
      </c>
      <c r="N728" s="16" t="s">
        <v>4219</v>
      </c>
      <c r="O728" s="16" t="s">
        <v>4220</v>
      </c>
      <c r="P728" s="16" t="s">
        <v>983</v>
      </c>
      <c r="Q728" s="16" t="s">
        <v>100</v>
      </c>
    </row>
    <row r="729" customFormat="false" ht="15" hidden="false" customHeight="false" outlineLevel="0" collapsed="false">
      <c r="A729" s="16" t="n">
        <v>58622</v>
      </c>
      <c r="B729" s="16" t="s">
        <v>4221</v>
      </c>
      <c r="C729" s="16" t="s">
        <v>4222</v>
      </c>
      <c r="D729" s="16" t="s">
        <v>23</v>
      </c>
      <c r="E729" s="16" t="s">
        <v>94</v>
      </c>
      <c r="F729" s="16" t="s">
        <v>979</v>
      </c>
      <c r="G729" s="16" t="s">
        <v>3210</v>
      </c>
      <c r="H729" s="16" t="s">
        <v>51</v>
      </c>
      <c r="I729" s="16" t="s">
        <v>29</v>
      </c>
      <c r="J729" s="16" t="s">
        <v>4223</v>
      </c>
      <c r="K729" s="16" t="n">
        <v>50.8765411376953</v>
      </c>
      <c r="L729" s="16" t="n">
        <v>-1.24717676639557</v>
      </c>
      <c r="M729" s="16" t="s">
        <v>98</v>
      </c>
      <c r="N729" s="16" t="s">
        <v>4224</v>
      </c>
      <c r="O729" s="16" t="s">
        <v>4225</v>
      </c>
      <c r="P729" s="16" t="s">
        <v>983</v>
      </c>
      <c r="Q729" s="16" t="s">
        <v>100</v>
      </c>
    </row>
    <row r="730" customFormat="false" ht="15" hidden="false" customHeight="false" outlineLevel="0" collapsed="false">
      <c r="A730" s="16" t="n">
        <v>58803</v>
      </c>
      <c r="B730" s="16" t="s">
        <v>4226</v>
      </c>
      <c r="C730" s="16" t="s">
        <v>4227</v>
      </c>
      <c r="D730" s="16" t="s">
        <v>23</v>
      </c>
      <c r="E730" s="16" t="s">
        <v>94</v>
      </c>
      <c r="F730" s="16" t="s">
        <v>4228</v>
      </c>
      <c r="G730" s="16" t="s">
        <v>33</v>
      </c>
      <c r="H730" s="16" t="s">
        <v>44</v>
      </c>
      <c r="I730" s="16" t="s">
        <v>33</v>
      </c>
      <c r="J730" s="16" t="s">
        <v>4229</v>
      </c>
      <c r="K730" s="16" t="n">
        <v>51.5218544006348</v>
      </c>
      <c r="L730" s="16" t="n">
        <v>-0.165129110217094</v>
      </c>
      <c r="M730" s="16" t="s">
        <v>98</v>
      </c>
      <c r="N730" s="16" t="s">
        <v>4230</v>
      </c>
      <c r="O730" s="16" t="s">
        <v>4231</v>
      </c>
      <c r="P730" s="16" t="s">
        <v>4232</v>
      </c>
      <c r="Q730" s="16" t="s">
        <v>100</v>
      </c>
    </row>
    <row r="731" customFormat="false" ht="15" hidden="false" customHeight="false" outlineLevel="0" collapsed="false">
      <c r="A731" s="16" t="n">
        <v>58911</v>
      </c>
      <c r="B731" s="16" t="s">
        <v>4233</v>
      </c>
      <c r="C731" s="16" t="s">
        <v>4234</v>
      </c>
      <c r="D731" s="16" t="s">
        <v>23</v>
      </c>
      <c r="E731" s="16" t="s">
        <v>4235</v>
      </c>
      <c r="F731" s="16" t="s">
        <v>4236</v>
      </c>
      <c r="G731" s="16" t="s">
        <v>4237</v>
      </c>
      <c r="H731" s="16" t="s">
        <v>285</v>
      </c>
      <c r="I731" s="16" t="s">
        <v>34</v>
      </c>
      <c r="J731" s="16" t="s">
        <v>4238</v>
      </c>
      <c r="K731" s="16" t="n">
        <v>53.0334396362305</v>
      </c>
      <c r="L731" s="16" t="n">
        <v>-2.18780469894409</v>
      </c>
      <c r="M731" s="16" t="s">
        <v>100</v>
      </c>
      <c r="N731" s="16"/>
      <c r="O731" s="16"/>
      <c r="P731" s="16"/>
      <c r="Q731" s="16" t="s">
        <v>100</v>
      </c>
    </row>
    <row r="732" customFormat="false" ht="15" hidden="false" customHeight="false" outlineLevel="0" collapsed="false">
      <c r="A732" s="16" t="n">
        <v>59010</v>
      </c>
      <c r="B732" s="16" t="s">
        <v>4239</v>
      </c>
      <c r="C732" s="16" t="s">
        <v>4240</v>
      </c>
      <c r="D732" s="16" t="s">
        <v>23</v>
      </c>
      <c r="E732" s="16" t="s">
        <v>4235</v>
      </c>
      <c r="F732" s="16" t="s">
        <v>4241</v>
      </c>
      <c r="G732" s="16" t="s">
        <v>4242</v>
      </c>
      <c r="H732" s="16" t="s">
        <v>1034</v>
      </c>
      <c r="I732" s="16" t="s">
        <v>30</v>
      </c>
      <c r="J732" s="16" t="s">
        <v>4243</v>
      </c>
      <c r="K732" s="16" t="n">
        <v>50.4073715209961</v>
      </c>
      <c r="L732" s="16" t="n">
        <v>-4.21430730819702</v>
      </c>
      <c r="M732" s="16" t="s">
        <v>100</v>
      </c>
      <c r="N732" s="16"/>
      <c r="O732" s="16"/>
      <c r="P732" s="16"/>
      <c r="Q732" s="16" t="s">
        <v>100</v>
      </c>
    </row>
    <row r="733" customFormat="false" ht="15" hidden="false" customHeight="false" outlineLevel="0" collapsed="false">
      <c r="A733" s="16" t="n">
        <v>59039</v>
      </c>
      <c r="B733" s="16" t="s">
        <v>4244</v>
      </c>
      <c r="C733" s="16" t="s">
        <v>4245</v>
      </c>
      <c r="D733" s="16" t="s">
        <v>23</v>
      </c>
      <c r="E733" s="16" t="s">
        <v>94</v>
      </c>
      <c r="F733" s="16" t="s">
        <v>4246</v>
      </c>
      <c r="G733" s="16" t="s">
        <v>4247</v>
      </c>
      <c r="H733" s="16" t="s">
        <v>254</v>
      </c>
      <c r="I733" s="16" t="s">
        <v>32</v>
      </c>
      <c r="J733" s="16" t="s">
        <v>4248</v>
      </c>
      <c r="K733" s="16" t="n">
        <v>52.4541473388672</v>
      </c>
      <c r="L733" s="16" t="n">
        <v>1.56236684322357</v>
      </c>
      <c r="M733" s="16" t="s">
        <v>98</v>
      </c>
      <c r="N733" s="16" t="s">
        <v>4249</v>
      </c>
      <c r="O733" s="16"/>
      <c r="P733" s="16" t="s">
        <v>4250</v>
      </c>
      <c r="Q733" s="16" t="s">
        <v>100</v>
      </c>
    </row>
    <row r="734" customFormat="false" ht="15" hidden="false" customHeight="false" outlineLevel="0" collapsed="false">
      <c r="A734" s="16" t="n">
        <v>59066</v>
      </c>
      <c r="B734" s="16" t="s">
        <v>4251</v>
      </c>
      <c r="C734" s="16" t="s">
        <v>4252</v>
      </c>
      <c r="D734" s="16" t="s">
        <v>23</v>
      </c>
      <c r="E734" s="16" t="s">
        <v>94</v>
      </c>
      <c r="F734" s="16" t="s">
        <v>4253</v>
      </c>
      <c r="G734" s="16" t="s">
        <v>4254</v>
      </c>
      <c r="H734" s="16" t="s">
        <v>49</v>
      </c>
      <c r="I734" s="16" t="s">
        <v>32</v>
      </c>
      <c r="J734" s="16" t="s">
        <v>4255</v>
      </c>
      <c r="K734" s="16" t="n">
        <v>51.622486114502</v>
      </c>
      <c r="L734" s="16" t="n">
        <v>0.400663167238236</v>
      </c>
      <c r="M734" s="16" t="s">
        <v>100</v>
      </c>
      <c r="N734" s="16"/>
      <c r="O734" s="16"/>
      <c r="P734" s="16"/>
      <c r="Q734" s="16" t="s">
        <v>100</v>
      </c>
    </row>
    <row r="735" customFormat="false" ht="15" hidden="false" customHeight="false" outlineLevel="0" collapsed="false">
      <c r="A735" s="16" t="n">
        <v>59350</v>
      </c>
      <c r="B735" s="16" t="s">
        <v>4256</v>
      </c>
      <c r="C735" s="16" t="s">
        <v>4257</v>
      </c>
      <c r="D735" s="16" t="s">
        <v>23</v>
      </c>
      <c r="E735" s="16" t="s">
        <v>94</v>
      </c>
      <c r="F735" s="16" t="s">
        <v>4258</v>
      </c>
      <c r="G735" s="16" t="s">
        <v>4259</v>
      </c>
      <c r="H735" s="16" t="s">
        <v>52</v>
      </c>
      <c r="I735" s="16" t="s">
        <v>31</v>
      </c>
      <c r="J735" s="16" t="s">
        <v>4260</v>
      </c>
      <c r="K735" s="16" t="n">
        <v>53.3800354003906</v>
      </c>
      <c r="L735" s="16" t="n">
        <v>-3.02651619911194</v>
      </c>
      <c r="M735" s="16" t="s">
        <v>98</v>
      </c>
      <c r="N735" s="16" t="s">
        <v>4261</v>
      </c>
      <c r="O735" s="16"/>
      <c r="P735" s="16"/>
      <c r="Q735" s="16" t="s">
        <v>100</v>
      </c>
    </row>
    <row r="736" customFormat="false" ht="15" hidden="false" customHeight="false" outlineLevel="0" collapsed="false">
      <c r="A736" s="16" t="n">
        <v>59503</v>
      </c>
      <c r="B736" s="16" t="s">
        <v>4262</v>
      </c>
      <c r="C736" s="16" t="s">
        <v>4263</v>
      </c>
      <c r="D736" s="16" t="s">
        <v>23</v>
      </c>
      <c r="E736" s="16" t="s">
        <v>4235</v>
      </c>
      <c r="F736" s="16" t="s">
        <v>4264</v>
      </c>
      <c r="G736" s="16" t="s">
        <v>4265</v>
      </c>
      <c r="H736" s="16" t="s">
        <v>208</v>
      </c>
      <c r="I736" s="16" t="s">
        <v>30</v>
      </c>
      <c r="J736" s="16" t="s">
        <v>4266</v>
      </c>
      <c r="K736" s="16" t="n">
        <v>51.692008972168</v>
      </c>
      <c r="L736" s="16" t="n">
        <v>-2.45848631858826</v>
      </c>
      <c r="M736" s="16" t="s">
        <v>100</v>
      </c>
      <c r="N736" s="16"/>
      <c r="O736" s="16"/>
      <c r="P736" s="16"/>
      <c r="Q736" s="16" t="s">
        <v>100</v>
      </c>
    </row>
    <row r="737" customFormat="false" ht="15" hidden="false" customHeight="false" outlineLevel="0" collapsed="false">
      <c r="A737" s="16" t="n">
        <v>59570</v>
      </c>
      <c r="B737" s="16" t="s">
        <v>4267</v>
      </c>
      <c r="C737" s="16" t="s">
        <v>4268</v>
      </c>
      <c r="D737" s="16" t="s">
        <v>23</v>
      </c>
      <c r="E737" s="16" t="s">
        <v>4235</v>
      </c>
      <c r="F737" s="16" t="s">
        <v>4269</v>
      </c>
      <c r="G737" s="16" t="s">
        <v>4270</v>
      </c>
      <c r="H737" s="16" t="s">
        <v>769</v>
      </c>
      <c r="I737" s="16" t="s">
        <v>36</v>
      </c>
      <c r="J737" s="16" t="s">
        <v>4271</v>
      </c>
      <c r="K737" s="16" t="n">
        <v>52.0309219360352</v>
      </c>
      <c r="L737" s="16" t="n">
        <v>-1.14311695098877</v>
      </c>
      <c r="M737" s="16" t="s">
        <v>100</v>
      </c>
      <c r="N737" s="16"/>
      <c r="O737" s="16"/>
      <c r="P737" s="16"/>
      <c r="Q737" s="16" t="s">
        <v>100</v>
      </c>
    </row>
    <row r="738" customFormat="false" ht="15" hidden="false" customHeight="false" outlineLevel="0" collapsed="false">
      <c r="A738" s="16" t="n">
        <v>59588</v>
      </c>
      <c r="B738" s="16" t="s">
        <v>4272</v>
      </c>
      <c r="C738" s="16" t="s">
        <v>4273</v>
      </c>
      <c r="D738" s="16" t="s">
        <v>23</v>
      </c>
      <c r="E738" s="16" t="s">
        <v>4235</v>
      </c>
      <c r="F738" s="16" t="s">
        <v>4274</v>
      </c>
      <c r="G738" s="16" t="s">
        <v>462</v>
      </c>
      <c r="H738" s="16" t="s">
        <v>55</v>
      </c>
      <c r="I738" s="16" t="s">
        <v>31</v>
      </c>
      <c r="J738" s="16" t="s">
        <v>4275</v>
      </c>
      <c r="K738" s="16" t="n">
        <v>53.4724769592285</v>
      </c>
      <c r="L738" s="16" t="n">
        <v>-2.57576274871826</v>
      </c>
      <c r="M738" s="16" t="s">
        <v>100</v>
      </c>
      <c r="N738" s="16"/>
      <c r="O738" s="16"/>
      <c r="P738" s="16"/>
      <c r="Q738" s="16" t="s">
        <v>100</v>
      </c>
    </row>
    <row r="739" customFormat="false" ht="15" hidden="false" customHeight="false" outlineLevel="0" collapsed="false">
      <c r="A739" s="16" t="n">
        <v>59646</v>
      </c>
      <c r="B739" s="16" t="s">
        <v>4276</v>
      </c>
      <c r="C739" s="16" t="s">
        <v>4277</v>
      </c>
      <c r="D739" s="16" t="s">
        <v>23</v>
      </c>
      <c r="E739" s="16" t="s">
        <v>4235</v>
      </c>
      <c r="F739" s="16" t="s">
        <v>4278</v>
      </c>
      <c r="G739" s="16" t="s">
        <v>495</v>
      </c>
      <c r="H739" s="16" t="s">
        <v>52</v>
      </c>
      <c r="I739" s="16" t="s">
        <v>31</v>
      </c>
      <c r="J739" s="16" t="s">
        <v>1883</v>
      </c>
      <c r="K739" s="16" t="n">
        <v>53.4663276672363</v>
      </c>
      <c r="L739" s="16" t="n">
        <v>-2.93108940124512</v>
      </c>
      <c r="M739" s="16" t="s">
        <v>98</v>
      </c>
      <c r="N739" s="16" t="s">
        <v>4279</v>
      </c>
      <c r="O739" s="16"/>
      <c r="P739" s="16"/>
      <c r="Q739" s="16" t="s">
        <v>100</v>
      </c>
    </row>
    <row r="740" customFormat="false" ht="15" hidden="false" customHeight="false" outlineLevel="0" collapsed="false">
      <c r="A740" s="16" t="n">
        <v>59654</v>
      </c>
      <c r="B740" s="16" t="s">
        <v>4280</v>
      </c>
      <c r="C740" s="16" t="s">
        <v>4281</v>
      </c>
      <c r="D740" s="16" t="s">
        <v>23</v>
      </c>
      <c r="E740" s="16" t="s">
        <v>4235</v>
      </c>
      <c r="F740" s="16" t="s">
        <v>4282</v>
      </c>
      <c r="G740" s="16" t="s">
        <v>33</v>
      </c>
      <c r="H740" s="16" t="s">
        <v>44</v>
      </c>
      <c r="I740" s="16" t="s">
        <v>33</v>
      </c>
      <c r="J740" s="16" t="s">
        <v>4283</v>
      </c>
      <c r="K740" s="16" t="n">
        <v>51.452205657959</v>
      </c>
      <c r="L740" s="16" t="n">
        <v>-0.213720351457596</v>
      </c>
      <c r="M740" s="16" t="s">
        <v>98</v>
      </c>
      <c r="N740" s="16"/>
      <c r="O740" s="16"/>
      <c r="P740" s="16"/>
      <c r="Q740" s="16" t="s">
        <v>100</v>
      </c>
    </row>
    <row r="741" customFormat="false" ht="15" hidden="false" customHeight="false" outlineLevel="0" collapsed="false">
      <c r="A741" s="16" t="n">
        <v>59676</v>
      </c>
      <c r="B741" s="16" t="s">
        <v>4284</v>
      </c>
      <c r="C741" s="16" t="s">
        <v>4285</v>
      </c>
      <c r="D741" s="16" t="s">
        <v>23</v>
      </c>
      <c r="E741" s="16" t="s">
        <v>4235</v>
      </c>
      <c r="F741" s="16" t="s">
        <v>4286</v>
      </c>
      <c r="G741" s="16" t="s">
        <v>4287</v>
      </c>
      <c r="H741" s="16" t="s">
        <v>46</v>
      </c>
      <c r="I741" s="16" t="s">
        <v>29</v>
      </c>
      <c r="J741" s="16" t="s">
        <v>4288</v>
      </c>
      <c r="K741" s="16" t="n">
        <v>51.0917472839355</v>
      </c>
      <c r="L741" s="16" t="n">
        <v>-0.708267331123352</v>
      </c>
      <c r="M741" s="16" t="s">
        <v>98</v>
      </c>
      <c r="N741" s="16" t="s">
        <v>4289</v>
      </c>
      <c r="O741" s="16"/>
      <c r="P741" s="16"/>
      <c r="Q741" s="16" t="s">
        <v>100</v>
      </c>
    </row>
    <row r="742" customFormat="false" ht="15" hidden="false" customHeight="false" outlineLevel="0" collapsed="false">
      <c r="A742" s="16" t="n">
        <v>59909</v>
      </c>
      <c r="B742" s="16" t="s">
        <v>4290</v>
      </c>
      <c r="C742" s="16" t="s">
        <v>4291</v>
      </c>
      <c r="D742" s="16" t="s">
        <v>22</v>
      </c>
      <c r="E742" s="16" t="s">
        <v>94</v>
      </c>
      <c r="F742" s="16" t="s">
        <v>4292</v>
      </c>
      <c r="G742" s="16" t="s">
        <v>353</v>
      </c>
      <c r="H742" s="16" t="s">
        <v>51</v>
      </c>
      <c r="I742" s="16" t="s">
        <v>29</v>
      </c>
      <c r="J742" s="16" t="s">
        <v>4293</v>
      </c>
      <c r="K742" s="16" t="n">
        <v>50.9246673583984</v>
      </c>
      <c r="L742" s="16" t="n">
        <v>-1.44778275489807</v>
      </c>
      <c r="M742" s="16" t="s">
        <v>98</v>
      </c>
      <c r="N742" s="16" t="s">
        <v>4294</v>
      </c>
      <c r="O742" s="16"/>
      <c r="P742" s="16" t="s">
        <v>4295</v>
      </c>
      <c r="Q742" s="16" t="s">
        <v>100</v>
      </c>
    </row>
    <row r="743" customFormat="false" ht="15" hidden="false" customHeight="false" outlineLevel="0" collapsed="false">
      <c r="A743" s="16" t="n">
        <v>59938</v>
      </c>
      <c r="B743" s="16" t="s">
        <v>4296</v>
      </c>
      <c r="C743" s="16" t="s">
        <v>4297</v>
      </c>
      <c r="D743" s="16" t="s">
        <v>22</v>
      </c>
      <c r="E743" s="16" t="s">
        <v>4235</v>
      </c>
      <c r="F743" s="16" t="s">
        <v>4292</v>
      </c>
      <c r="G743" s="16" t="s">
        <v>728</v>
      </c>
      <c r="H743" s="16" t="s">
        <v>51</v>
      </c>
      <c r="I743" s="16" t="s">
        <v>29</v>
      </c>
      <c r="J743" s="16" t="s">
        <v>4298</v>
      </c>
      <c r="K743" s="16" t="n">
        <v>51.0624084472656</v>
      </c>
      <c r="L743" s="16" t="n">
        <v>-1.28355276584625</v>
      </c>
      <c r="M743" s="16" t="s">
        <v>100</v>
      </c>
      <c r="N743" s="16"/>
      <c r="O743" s="16"/>
      <c r="P743" s="16"/>
      <c r="Q743" s="16" t="s">
        <v>100</v>
      </c>
    </row>
    <row r="744" customFormat="false" ht="15" hidden="false" customHeight="false" outlineLevel="0" collapsed="false">
      <c r="A744" s="16" t="n">
        <v>59953</v>
      </c>
      <c r="B744" s="16" t="s">
        <v>4299</v>
      </c>
      <c r="C744" s="16" t="s">
        <v>4300</v>
      </c>
      <c r="D744" s="16" t="s">
        <v>22</v>
      </c>
      <c r="E744" s="16" t="s">
        <v>94</v>
      </c>
      <c r="F744" s="16" t="s">
        <v>4292</v>
      </c>
      <c r="G744" s="16" t="s">
        <v>4301</v>
      </c>
      <c r="H744" s="16" t="s">
        <v>51</v>
      </c>
      <c r="I744" s="16" t="s">
        <v>29</v>
      </c>
      <c r="J744" s="16" t="s">
        <v>4302</v>
      </c>
      <c r="K744" s="16" t="n">
        <v>50.7969551086426</v>
      </c>
      <c r="L744" s="16" t="n">
        <v>-1.05011832714081</v>
      </c>
      <c r="M744" s="16" t="s">
        <v>98</v>
      </c>
      <c r="N744" s="16"/>
      <c r="O744" s="16"/>
      <c r="P744" s="16"/>
      <c r="Q744" s="16" t="s">
        <v>100</v>
      </c>
    </row>
    <row r="745" customFormat="false" ht="15" hidden="false" customHeight="false" outlineLevel="0" collapsed="false">
      <c r="A745" s="16" t="n">
        <v>59962</v>
      </c>
      <c r="B745" s="16" t="s">
        <v>4303</v>
      </c>
      <c r="C745" s="16" t="s">
        <v>4304</v>
      </c>
      <c r="D745" s="16" t="s">
        <v>22</v>
      </c>
      <c r="E745" s="16" t="s">
        <v>4235</v>
      </c>
      <c r="F745" s="16" t="s">
        <v>4292</v>
      </c>
      <c r="G745" s="16" t="s">
        <v>4305</v>
      </c>
      <c r="H745" s="16" t="s">
        <v>51</v>
      </c>
      <c r="I745" s="16" t="s">
        <v>29</v>
      </c>
      <c r="J745" s="16" t="s">
        <v>4306</v>
      </c>
      <c r="K745" s="16" t="n">
        <v>51.1061668395996</v>
      </c>
      <c r="L745" s="16" t="n">
        <v>-0.862033367156982</v>
      </c>
      <c r="M745" s="16" t="s">
        <v>100</v>
      </c>
      <c r="N745" s="16"/>
      <c r="O745" s="16"/>
      <c r="P745" s="16"/>
      <c r="Q745" s="16" t="s">
        <v>100</v>
      </c>
    </row>
    <row r="746" customFormat="false" ht="15" hidden="false" customHeight="false" outlineLevel="0" collapsed="false">
      <c r="A746" s="16" t="n">
        <v>59970</v>
      </c>
      <c r="B746" s="16" t="s">
        <v>4307</v>
      </c>
      <c r="C746" s="16" t="s">
        <v>4308</v>
      </c>
      <c r="D746" s="16" t="s">
        <v>22</v>
      </c>
      <c r="E746" s="16" t="s">
        <v>4235</v>
      </c>
      <c r="F746" s="16" t="s">
        <v>4292</v>
      </c>
      <c r="G746" s="16" t="s">
        <v>360</v>
      </c>
      <c r="H746" s="16" t="s">
        <v>51</v>
      </c>
      <c r="I746" s="16" t="s">
        <v>29</v>
      </c>
      <c r="J746" s="16" t="s">
        <v>4309</v>
      </c>
      <c r="K746" s="16" t="n">
        <v>50.8565254211426</v>
      </c>
      <c r="L746" s="16" t="n">
        <v>-0.975570321083069</v>
      </c>
      <c r="M746" s="16" t="s">
        <v>100</v>
      </c>
      <c r="N746" s="16"/>
      <c r="O746" s="16"/>
      <c r="P746" s="16"/>
      <c r="Q746" s="16" t="s">
        <v>100</v>
      </c>
    </row>
    <row r="747" customFormat="false" ht="15" hidden="false" customHeight="false" outlineLevel="0" collapsed="false">
      <c r="A747" s="16" t="n">
        <v>60121</v>
      </c>
      <c r="B747" s="16" t="s">
        <v>4310</v>
      </c>
      <c r="C747" s="16" t="s">
        <v>4311</v>
      </c>
      <c r="D747" s="16" t="s">
        <v>22</v>
      </c>
      <c r="E747" s="16" t="s">
        <v>94</v>
      </c>
      <c r="F747" s="16" t="s">
        <v>2809</v>
      </c>
      <c r="G747" s="16" t="s">
        <v>4237</v>
      </c>
      <c r="H747" s="16" t="s">
        <v>285</v>
      </c>
      <c r="I747" s="16" t="s">
        <v>34</v>
      </c>
      <c r="J747" s="16" t="s">
        <v>4312</v>
      </c>
      <c r="K747" s="16" t="n">
        <v>52.9779357910156</v>
      </c>
      <c r="L747" s="16" t="n">
        <v>-2.12231826782227</v>
      </c>
      <c r="M747" s="16" t="s">
        <v>98</v>
      </c>
      <c r="N747" s="16" t="s">
        <v>4313</v>
      </c>
      <c r="O747" s="16"/>
      <c r="P747" s="16" t="s">
        <v>4314</v>
      </c>
      <c r="Q747" s="16" t="s">
        <v>100</v>
      </c>
    </row>
    <row r="748" customFormat="false" ht="15" hidden="false" customHeight="false" outlineLevel="0" collapsed="false">
      <c r="A748" s="16" t="n">
        <v>60240</v>
      </c>
      <c r="B748" s="16" t="s">
        <v>4315</v>
      </c>
      <c r="C748" s="16" t="s">
        <v>4316</v>
      </c>
      <c r="D748" s="16" t="s">
        <v>22</v>
      </c>
      <c r="E748" s="16" t="s">
        <v>94</v>
      </c>
      <c r="F748" s="16" t="s">
        <v>4316</v>
      </c>
      <c r="G748" s="16" t="s">
        <v>315</v>
      </c>
      <c r="H748" s="16" t="s">
        <v>45</v>
      </c>
      <c r="I748" s="16" t="s">
        <v>29</v>
      </c>
      <c r="J748" s="16" t="s">
        <v>4317</v>
      </c>
      <c r="K748" s="16" t="n">
        <v>51.1186027526855</v>
      </c>
      <c r="L748" s="16" t="n">
        <v>0.171389386057854</v>
      </c>
      <c r="M748" s="16" t="s">
        <v>98</v>
      </c>
      <c r="N748" s="16" t="s">
        <v>4318</v>
      </c>
      <c r="O748" s="16" t="s">
        <v>4319</v>
      </c>
      <c r="P748" s="16" t="s">
        <v>4320</v>
      </c>
      <c r="Q748" s="16" t="s">
        <v>100</v>
      </c>
    </row>
    <row r="749" customFormat="false" ht="15" hidden="false" customHeight="false" outlineLevel="0" collapsed="false">
      <c r="A749" s="16" t="n">
        <v>60338</v>
      </c>
      <c r="B749" s="16" t="s">
        <v>4321</v>
      </c>
      <c r="C749" s="16" t="s">
        <v>1943</v>
      </c>
      <c r="D749" s="16" t="s">
        <v>23</v>
      </c>
      <c r="E749" s="16" t="s">
        <v>94</v>
      </c>
      <c r="F749" s="16" t="s">
        <v>4322</v>
      </c>
      <c r="G749" s="16" t="s">
        <v>4323</v>
      </c>
      <c r="H749" s="16" t="s">
        <v>4324</v>
      </c>
      <c r="I749" s="16" t="s">
        <v>29</v>
      </c>
      <c r="J749" s="16" t="s">
        <v>4325</v>
      </c>
      <c r="K749" s="16" t="n">
        <v>50.7108459472656</v>
      </c>
      <c r="L749" s="16" t="n">
        <v>-1.30131590366364</v>
      </c>
      <c r="M749" s="16" t="s">
        <v>98</v>
      </c>
      <c r="N749" s="16" t="s">
        <v>4326</v>
      </c>
      <c r="O749" s="16"/>
      <c r="P749" s="16" t="s">
        <v>4327</v>
      </c>
      <c r="Q749" s="16" t="s">
        <v>100</v>
      </c>
    </row>
    <row r="750" customFormat="false" ht="15" hidden="false" customHeight="false" outlineLevel="0" collapsed="false">
      <c r="A750" s="16" t="n">
        <v>60374</v>
      </c>
      <c r="B750" s="16" t="s">
        <v>4328</v>
      </c>
      <c r="C750" s="16" t="s">
        <v>4329</v>
      </c>
      <c r="D750" s="16" t="s">
        <v>22</v>
      </c>
      <c r="E750" s="16" t="s">
        <v>94</v>
      </c>
      <c r="F750" s="16" t="s">
        <v>1309</v>
      </c>
      <c r="G750" s="16" t="s">
        <v>46</v>
      </c>
      <c r="H750" s="16" t="s">
        <v>2433</v>
      </c>
      <c r="I750" s="16" t="s">
        <v>38</v>
      </c>
      <c r="J750" s="16" t="s">
        <v>4330</v>
      </c>
      <c r="K750" s="16" t="n">
        <v>51.1406135559082</v>
      </c>
      <c r="L750" s="16" t="n">
        <v>-0.487048178911209</v>
      </c>
      <c r="M750" s="16" t="s">
        <v>98</v>
      </c>
      <c r="N750" s="16" t="s">
        <v>4331</v>
      </c>
      <c r="O750" s="16"/>
      <c r="P750" s="16"/>
      <c r="Q750" s="16" t="s">
        <v>100</v>
      </c>
    </row>
    <row r="751" customFormat="false" ht="15" hidden="false" customHeight="false" outlineLevel="0" collapsed="false">
      <c r="A751" s="16" t="n">
        <v>60502</v>
      </c>
      <c r="B751" s="16" t="s">
        <v>4332</v>
      </c>
      <c r="C751" s="16" t="s">
        <v>4333</v>
      </c>
      <c r="D751" s="16" t="s">
        <v>22</v>
      </c>
      <c r="E751" s="16" t="s">
        <v>4235</v>
      </c>
      <c r="F751" s="16" t="s">
        <v>1474</v>
      </c>
      <c r="G751" s="16" t="s">
        <v>1475</v>
      </c>
      <c r="H751" s="16" t="s">
        <v>46</v>
      </c>
      <c r="I751" s="16" t="s">
        <v>29</v>
      </c>
      <c r="J751" s="16" t="s">
        <v>4334</v>
      </c>
      <c r="K751" s="16" t="n">
        <v>51.4156951904297</v>
      </c>
      <c r="L751" s="16" t="n">
        <v>-0.254274994134903</v>
      </c>
      <c r="M751" s="16" t="s">
        <v>98</v>
      </c>
      <c r="N751" s="16" t="s">
        <v>4335</v>
      </c>
      <c r="O751" s="16"/>
      <c r="P751" s="16" t="s">
        <v>4336</v>
      </c>
      <c r="Q751" s="16" t="s">
        <v>100</v>
      </c>
    </row>
    <row r="752" customFormat="false" ht="15" hidden="false" customHeight="false" outlineLevel="0" collapsed="false">
      <c r="A752" s="16" t="n">
        <v>60504</v>
      </c>
      <c r="B752" s="16" t="s">
        <v>4337</v>
      </c>
      <c r="C752" s="16" t="s">
        <v>4338</v>
      </c>
      <c r="D752" s="16" t="s">
        <v>22</v>
      </c>
      <c r="E752" s="16" t="s">
        <v>4235</v>
      </c>
      <c r="F752" s="16" t="s">
        <v>1474</v>
      </c>
      <c r="G752" s="16" t="s">
        <v>33</v>
      </c>
      <c r="H752" s="16" t="s">
        <v>44</v>
      </c>
      <c r="I752" s="16" t="s">
        <v>33</v>
      </c>
      <c r="J752" s="16" t="s">
        <v>4339</v>
      </c>
      <c r="K752" s="16" t="n">
        <v>51.4949150085449</v>
      </c>
      <c r="L752" s="16" t="n">
        <v>-0.240863412618637</v>
      </c>
      <c r="M752" s="16" t="s">
        <v>98</v>
      </c>
      <c r="N752" s="16" t="s">
        <v>4340</v>
      </c>
      <c r="O752" s="16"/>
      <c r="P752" s="16"/>
      <c r="Q752" s="16" t="s">
        <v>100</v>
      </c>
    </row>
    <row r="753" customFormat="false" ht="15" hidden="false" customHeight="false" outlineLevel="0" collapsed="false">
      <c r="A753" s="16" t="n">
        <v>60526</v>
      </c>
      <c r="B753" s="16" t="s">
        <v>4341</v>
      </c>
      <c r="C753" s="16" t="s">
        <v>4342</v>
      </c>
      <c r="D753" s="16" t="s">
        <v>22</v>
      </c>
      <c r="E753" s="16" t="s">
        <v>94</v>
      </c>
      <c r="F753" s="16" t="s">
        <v>1400</v>
      </c>
      <c r="G753" s="16" t="s">
        <v>1401</v>
      </c>
      <c r="H753" s="16" t="s">
        <v>50</v>
      </c>
      <c r="I753" s="16" t="s">
        <v>35</v>
      </c>
      <c r="J753" s="16" t="s">
        <v>4343</v>
      </c>
      <c r="K753" s="16" t="n">
        <v>53.807300567627</v>
      </c>
      <c r="L753" s="16" t="n">
        <v>-1.77622532844544</v>
      </c>
      <c r="M753" s="16" t="s">
        <v>98</v>
      </c>
      <c r="N753" s="16" t="s">
        <v>4344</v>
      </c>
      <c r="O753" s="16"/>
      <c r="P753" s="16"/>
      <c r="Q753" s="16" t="s">
        <v>100</v>
      </c>
    </row>
    <row r="754" customFormat="false" ht="15" hidden="false" customHeight="false" outlineLevel="0" collapsed="false">
      <c r="A754" s="16" t="n">
        <v>60676</v>
      </c>
      <c r="B754" s="16" t="s">
        <v>4345</v>
      </c>
      <c r="C754" s="16" t="s">
        <v>4346</v>
      </c>
      <c r="D754" s="16" t="s">
        <v>22</v>
      </c>
      <c r="E754" s="16" t="s">
        <v>4235</v>
      </c>
      <c r="F754" s="16" t="s">
        <v>1618</v>
      </c>
      <c r="G754" s="16" t="s">
        <v>3482</v>
      </c>
      <c r="H754" s="16" t="s">
        <v>54</v>
      </c>
      <c r="I754" s="16" t="s">
        <v>35</v>
      </c>
      <c r="J754" s="16" t="s">
        <v>4347</v>
      </c>
      <c r="K754" s="16" t="n">
        <v>54.2817077636719</v>
      </c>
      <c r="L754" s="16" t="n">
        <v>-0.434737980365753</v>
      </c>
      <c r="M754" s="16" t="s">
        <v>100</v>
      </c>
      <c r="N754" s="16"/>
      <c r="O754" s="16"/>
      <c r="P754" s="16"/>
      <c r="Q754" s="16" t="s">
        <v>100</v>
      </c>
    </row>
    <row r="755" customFormat="false" ht="15" hidden="false" customHeight="false" outlineLevel="0" collapsed="false">
      <c r="A755" s="16" t="n">
        <v>60868</v>
      </c>
      <c r="B755" s="16" t="s">
        <v>4348</v>
      </c>
      <c r="C755" s="16" t="s">
        <v>4349</v>
      </c>
      <c r="D755" s="16" t="s">
        <v>22</v>
      </c>
      <c r="E755" s="16" t="s">
        <v>94</v>
      </c>
      <c r="F755" s="16" t="s">
        <v>1732</v>
      </c>
      <c r="G755" s="16" t="s">
        <v>4350</v>
      </c>
      <c r="H755" s="16" t="s">
        <v>214</v>
      </c>
      <c r="I755" s="16" t="s">
        <v>29</v>
      </c>
      <c r="J755" s="16" t="s">
        <v>4351</v>
      </c>
      <c r="K755" s="16" t="n">
        <v>50.9934806823731</v>
      </c>
      <c r="L755" s="16" t="n">
        <v>-0.735092878341675</v>
      </c>
      <c r="M755" s="16" t="s">
        <v>100</v>
      </c>
      <c r="N755" s="16"/>
      <c r="O755" s="16"/>
      <c r="P755" s="16"/>
      <c r="Q755" s="16" t="s">
        <v>100</v>
      </c>
    </row>
    <row r="756" customFormat="false" ht="15" hidden="false" customHeight="false" outlineLevel="0" collapsed="false">
      <c r="A756" s="16" t="n">
        <v>60874</v>
      </c>
      <c r="B756" s="16" t="s">
        <v>4352</v>
      </c>
      <c r="C756" s="16" t="s">
        <v>4353</v>
      </c>
      <c r="D756" s="16" t="s">
        <v>22</v>
      </c>
      <c r="E756" s="16" t="s">
        <v>94</v>
      </c>
      <c r="F756" s="16" t="s">
        <v>1732</v>
      </c>
      <c r="G756" s="16" t="s">
        <v>4354</v>
      </c>
      <c r="H756" s="16" t="s">
        <v>214</v>
      </c>
      <c r="I756" s="16" t="s">
        <v>29</v>
      </c>
      <c r="J756" s="16" t="s">
        <v>4355</v>
      </c>
      <c r="K756" s="16" t="n">
        <v>51.0698890686035</v>
      </c>
      <c r="L756" s="16" t="n">
        <v>-0.323812663555145</v>
      </c>
      <c r="M756" s="16" t="s">
        <v>98</v>
      </c>
      <c r="N756" s="16" t="s">
        <v>4356</v>
      </c>
      <c r="O756" s="16"/>
      <c r="P756" s="16" t="s">
        <v>4357</v>
      </c>
      <c r="Q756" s="16" t="s">
        <v>100</v>
      </c>
    </row>
    <row r="757" customFormat="false" ht="15" hidden="false" customHeight="false" outlineLevel="0" collapsed="false">
      <c r="A757" s="16" t="n">
        <v>60940</v>
      </c>
      <c r="B757" s="16" t="s">
        <v>4358</v>
      </c>
      <c r="C757" s="16" t="s">
        <v>4359</v>
      </c>
      <c r="D757" s="16" t="s">
        <v>22</v>
      </c>
      <c r="E757" s="16" t="s">
        <v>94</v>
      </c>
      <c r="F757" s="16" t="s">
        <v>66</v>
      </c>
      <c r="G757" s="16" t="s">
        <v>775</v>
      </c>
      <c r="H757" s="16" t="s">
        <v>53</v>
      </c>
      <c r="I757" s="16" t="s">
        <v>30</v>
      </c>
      <c r="J757" s="16" t="s">
        <v>4360</v>
      </c>
      <c r="K757" s="16" t="n">
        <v>50.7061271667481</v>
      </c>
      <c r="L757" s="16" t="n">
        <v>-2.4443793296814</v>
      </c>
      <c r="M757" s="16" t="s">
        <v>98</v>
      </c>
      <c r="N757" s="16"/>
      <c r="O757" s="16"/>
      <c r="P757" s="16"/>
      <c r="Q757" s="16" t="s">
        <v>100</v>
      </c>
    </row>
    <row r="758" customFormat="false" ht="15" hidden="false" customHeight="false" outlineLevel="0" collapsed="false">
      <c r="A758" s="16" t="n">
        <v>61033</v>
      </c>
      <c r="B758" s="16" t="s">
        <v>4361</v>
      </c>
      <c r="C758" s="16" t="s">
        <v>4362</v>
      </c>
      <c r="D758" s="16" t="s">
        <v>22</v>
      </c>
      <c r="E758" s="16" t="s">
        <v>4235</v>
      </c>
      <c r="F758" s="16" t="s">
        <v>1903</v>
      </c>
      <c r="G758" s="16" t="s">
        <v>1908</v>
      </c>
      <c r="H758" s="16" t="s">
        <v>49</v>
      </c>
      <c r="I758" s="16" t="s">
        <v>32</v>
      </c>
      <c r="J758" s="16" t="s">
        <v>4363</v>
      </c>
      <c r="K758" s="16" t="n">
        <v>51.576961517334</v>
      </c>
      <c r="L758" s="16" t="n">
        <v>0.121293127536774</v>
      </c>
      <c r="M758" s="16" t="s">
        <v>100</v>
      </c>
      <c r="N758" s="16"/>
      <c r="O758" s="16"/>
      <c r="P758" s="16"/>
      <c r="Q758" s="16" t="s">
        <v>100</v>
      </c>
    </row>
    <row r="759" customFormat="false" ht="15" hidden="false" customHeight="false" outlineLevel="0" collapsed="false">
      <c r="A759" s="16" t="n">
        <v>61037</v>
      </c>
      <c r="B759" s="16" t="s">
        <v>4364</v>
      </c>
      <c r="C759" s="16" t="s">
        <v>4365</v>
      </c>
      <c r="D759" s="16" t="s">
        <v>22</v>
      </c>
      <c r="E759" s="16" t="s">
        <v>4235</v>
      </c>
      <c r="F759" s="16" t="s">
        <v>1831</v>
      </c>
      <c r="G759" s="16" t="s">
        <v>174</v>
      </c>
      <c r="H759" s="16" t="s">
        <v>53</v>
      </c>
      <c r="I759" s="16" t="s">
        <v>30</v>
      </c>
      <c r="J759" s="16" t="s">
        <v>4366</v>
      </c>
      <c r="K759" s="16" t="n">
        <v>50.7292709350586</v>
      </c>
      <c r="L759" s="16" t="n">
        <v>-1.84145951271057</v>
      </c>
      <c r="M759" s="16" t="s">
        <v>100</v>
      </c>
      <c r="N759" s="16"/>
      <c r="O759" s="16"/>
      <c r="P759" s="16"/>
      <c r="Q759" s="16" t="s">
        <v>100</v>
      </c>
    </row>
    <row r="760" customFormat="false" ht="15" hidden="false" customHeight="false" outlineLevel="0" collapsed="false">
      <c r="A760" s="16" t="n">
        <v>61046</v>
      </c>
      <c r="B760" s="16" t="s">
        <v>4367</v>
      </c>
      <c r="C760" s="16" t="s">
        <v>4368</v>
      </c>
      <c r="D760" s="16" t="s">
        <v>22</v>
      </c>
      <c r="E760" s="16" t="s">
        <v>4235</v>
      </c>
      <c r="F760" s="16" t="s">
        <v>1903</v>
      </c>
      <c r="G760" s="16" t="s">
        <v>1908</v>
      </c>
      <c r="H760" s="16" t="s">
        <v>49</v>
      </c>
      <c r="I760" s="16" t="s">
        <v>32</v>
      </c>
      <c r="J760" s="16" t="s">
        <v>4369</v>
      </c>
      <c r="K760" s="16" t="n">
        <v>51.5913772583008</v>
      </c>
      <c r="L760" s="16" t="n">
        <v>0.233147278428078</v>
      </c>
      <c r="M760" s="16" t="s">
        <v>100</v>
      </c>
      <c r="N760" s="16"/>
      <c r="O760" s="16"/>
      <c r="P760" s="16"/>
      <c r="Q760" s="16" t="s">
        <v>100</v>
      </c>
    </row>
    <row r="761" customFormat="false" ht="15" hidden="false" customHeight="false" outlineLevel="0" collapsed="false">
      <c r="A761" s="16" t="n">
        <v>61047</v>
      </c>
      <c r="B761" s="16" t="s">
        <v>4370</v>
      </c>
      <c r="C761" s="16" t="s">
        <v>4371</v>
      </c>
      <c r="D761" s="16" t="s">
        <v>22</v>
      </c>
      <c r="E761" s="16" t="s">
        <v>4235</v>
      </c>
      <c r="F761" s="16" t="s">
        <v>1903</v>
      </c>
      <c r="G761" s="16" t="s">
        <v>1908</v>
      </c>
      <c r="H761" s="16" t="s">
        <v>49</v>
      </c>
      <c r="I761" s="16" t="s">
        <v>32</v>
      </c>
      <c r="J761" s="16" t="s">
        <v>4372</v>
      </c>
      <c r="K761" s="16" t="n">
        <v>51.5836563110352</v>
      </c>
      <c r="L761" s="16" t="n">
        <v>0.187298119068146</v>
      </c>
      <c r="M761" s="16" t="s">
        <v>98</v>
      </c>
      <c r="N761" s="16" t="s">
        <v>4373</v>
      </c>
      <c r="O761" s="16"/>
      <c r="P761" s="16"/>
      <c r="Q761" s="16" t="s">
        <v>100</v>
      </c>
    </row>
    <row r="762" customFormat="false" ht="15" hidden="false" customHeight="false" outlineLevel="0" collapsed="false">
      <c r="A762" s="16" t="n">
        <v>61351</v>
      </c>
      <c r="B762" s="16" t="s">
        <v>4374</v>
      </c>
      <c r="C762" s="16" t="s">
        <v>4375</v>
      </c>
      <c r="D762" s="16" t="s">
        <v>22</v>
      </c>
      <c r="E762" s="16" t="s">
        <v>94</v>
      </c>
      <c r="F762" s="16" t="s">
        <v>69</v>
      </c>
      <c r="G762" s="16" t="s">
        <v>4376</v>
      </c>
      <c r="H762" s="16" t="s">
        <v>310</v>
      </c>
      <c r="I762" s="16" t="s">
        <v>30</v>
      </c>
      <c r="J762" s="16" t="s">
        <v>4377</v>
      </c>
      <c r="K762" s="16" t="n">
        <v>51.2388038635254</v>
      </c>
      <c r="L762" s="16" t="n">
        <v>-2.99386167526245</v>
      </c>
      <c r="M762" s="16" t="s">
        <v>98</v>
      </c>
      <c r="N762" s="16" t="s">
        <v>4378</v>
      </c>
      <c r="O762" s="16"/>
      <c r="P762" s="16" t="s">
        <v>4379</v>
      </c>
      <c r="Q762" s="16" t="s">
        <v>100</v>
      </c>
    </row>
    <row r="763" customFormat="false" ht="15" hidden="false" customHeight="false" outlineLevel="0" collapsed="false">
      <c r="A763" s="16" t="n">
        <v>61394</v>
      </c>
      <c r="B763" s="16" t="s">
        <v>4380</v>
      </c>
      <c r="C763" s="16" t="s">
        <v>4381</v>
      </c>
      <c r="D763" s="16" t="s">
        <v>22</v>
      </c>
      <c r="E763" s="16" t="s">
        <v>4235</v>
      </c>
      <c r="F763" s="16" t="s">
        <v>70</v>
      </c>
      <c r="G763" s="16" t="s">
        <v>4382</v>
      </c>
      <c r="H763" s="16" t="s">
        <v>48</v>
      </c>
      <c r="I763" s="16" t="s">
        <v>30</v>
      </c>
      <c r="J763" s="16" t="s">
        <v>4383</v>
      </c>
      <c r="K763" s="16" t="n">
        <v>50.7923774719238</v>
      </c>
      <c r="L763" s="16" t="n">
        <v>-3.67411255836487</v>
      </c>
      <c r="M763" s="16" t="s">
        <v>98</v>
      </c>
      <c r="N763" s="16" t="s">
        <v>4384</v>
      </c>
      <c r="O763" s="16"/>
      <c r="P763" s="16"/>
      <c r="Q763" s="16" t="s">
        <v>100</v>
      </c>
    </row>
    <row r="764" customFormat="false" ht="15" hidden="false" customHeight="false" outlineLevel="0" collapsed="false">
      <c r="A764" s="16" t="n">
        <v>61422</v>
      </c>
      <c r="B764" s="16" t="s">
        <v>4385</v>
      </c>
      <c r="C764" s="16" t="s">
        <v>4386</v>
      </c>
      <c r="D764" s="16" t="s">
        <v>22</v>
      </c>
      <c r="E764" s="16" t="s">
        <v>4235</v>
      </c>
      <c r="F764" s="16" t="s">
        <v>2219</v>
      </c>
      <c r="G764" s="16" t="s">
        <v>4387</v>
      </c>
      <c r="H764" s="16" t="s">
        <v>1034</v>
      </c>
      <c r="I764" s="16" t="s">
        <v>30</v>
      </c>
      <c r="J764" s="16" t="s">
        <v>4388</v>
      </c>
      <c r="K764" s="16" t="n">
        <v>50.1556930541992</v>
      </c>
      <c r="L764" s="16" t="n">
        <v>-5.0861291885376</v>
      </c>
      <c r="M764" s="16" t="s">
        <v>98</v>
      </c>
      <c r="N764" s="16" t="s">
        <v>4389</v>
      </c>
      <c r="O764" s="16"/>
      <c r="P764" s="16" t="s">
        <v>4390</v>
      </c>
      <c r="Q764" s="16" t="s">
        <v>100</v>
      </c>
    </row>
    <row r="765" customFormat="false" ht="15" hidden="false" customHeight="false" outlineLevel="0" collapsed="false">
      <c r="A765" s="16" t="n">
        <v>61470</v>
      </c>
      <c r="B765" s="16" t="s">
        <v>4391</v>
      </c>
      <c r="C765" s="16" t="s">
        <v>4392</v>
      </c>
      <c r="D765" s="16" t="s">
        <v>22</v>
      </c>
      <c r="E765" s="16" t="s">
        <v>4235</v>
      </c>
      <c r="F765" s="16" t="s">
        <v>2257</v>
      </c>
      <c r="G765" s="16" t="s">
        <v>2449</v>
      </c>
      <c r="H765" s="16" t="s">
        <v>260</v>
      </c>
      <c r="I765" s="16" t="s">
        <v>34</v>
      </c>
      <c r="J765" s="16" t="s">
        <v>4393</v>
      </c>
      <c r="K765" s="16" t="n">
        <v>52.5</v>
      </c>
      <c r="L765" s="16" t="n">
        <v>-1.41553962230682</v>
      </c>
      <c r="M765" s="16" t="s">
        <v>100</v>
      </c>
      <c r="N765" s="16"/>
      <c r="O765" s="16"/>
      <c r="P765" s="16"/>
      <c r="Q765" s="16" t="s">
        <v>100</v>
      </c>
    </row>
    <row r="766" customFormat="false" ht="15" hidden="false" customHeight="false" outlineLevel="0" collapsed="false">
      <c r="A766" s="16" t="n">
        <v>61506</v>
      </c>
      <c r="B766" s="16" t="s">
        <v>4394</v>
      </c>
      <c r="C766" s="16" t="s">
        <v>4395</v>
      </c>
      <c r="D766" s="16" t="s">
        <v>22</v>
      </c>
      <c r="E766" s="16" t="s">
        <v>4235</v>
      </c>
      <c r="F766" s="16" t="s">
        <v>2179</v>
      </c>
      <c r="G766" s="16" t="s">
        <v>33</v>
      </c>
      <c r="H766" s="16" t="s">
        <v>44</v>
      </c>
      <c r="I766" s="16" t="s">
        <v>33</v>
      </c>
      <c r="J766" s="16" t="s">
        <v>4396</v>
      </c>
      <c r="K766" s="16" t="n">
        <v>51.4590682983398</v>
      </c>
      <c r="L766" s="16" t="n">
        <v>-0.0812348872423172</v>
      </c>
      <c r="M766" s="16" t="s">
        <v>100</v>
      </c>
      <c r="N766" s="16"/>
      <c r="O766" s="16"/>
      <c r="P766" s="16"/>
      <c r="Q766" s="16" t="s">
        <v>100</v>
      </c>
    </row>
    <row r="767" customFormat="false" ht="15" hidden="false" customHeight="false" outlineLevel="0" collapsed="false">
      <c r="A767" s="16" t="n">
        <v>61530</v>
      </c>
      <c r="B767" s="16" t="s">
        <v>4397</v>
      </c>
      <c r="C767" s="16" t="s">
        <v>4398</v>
      </c>
      <c r="D767" s="16" t="s">
        <v>22</v>
      </c>
      <c r="E767" s="16" t="s">
        <v>4235</v>
      </c>
      <c r="F767" s="16" t="s">
        <v>2134</v>
      </c>
      <c r="G767" s="16" t="s">
        <v>761</v>
      </c>
      <c r="H767" s="16" t="s">
        <v>762</v>
      </c>
      <c r="I767" s="16" t="s">
        <v>35</v>
      </c>
      <c r="J767" s="16" t="s">
        <v>2140</v>
      </c>
      <c r="K767" s="16" t="n">
        <v>53.3783569335938</v>
      </c>
      <c r="L767" s="16" t="n">
        <v>-1.49331629276276</v>
      </c>
      <c r="M767" s="16" t="s">
        <v>98</v>
      </c>
      <c r="N767" s="16" t="s">
        <v>4399</v>
      </c>
      <c r="O767" s="16"/>
      <c r="P767" s="16"/>
      <c r="Q767" s="16" t="s">
        <v>100</v>
      </c>
    </row>
    <row r="768" customFormat="false" ht="15" hidden="false" customHeight="false" outlineLevel="0" collapsed="false">
      <c r="A768" s="16" t="n">
        <v>61619</v>
      </c>
      <c r="B768" s="16" t="s">
        <v>4400</v>
      </c>
      <c r="C768" s="16" t="s">
        <v>4401</v>
      </c>
      <c r="D768" s="16" t="s">
        <v>22</v>
      </c>
      <c r="E768" s="16" t="s">
        <v>94</v>
      </c>
      <c r="F768" s="16" t="s">
        <v>2405</v>
      </c>
      <c r="G768" s="16" t="s">
        <v>324</v>
      </c>
      <c r="H768" s="16" t="s">
        <v>34</v>
      </c>
      <c r="I768" s="16" t="s">
        <v>34</v>
      </c>
      <c r="J768" s="16" t="s">
        <v>4402</v>
      </c>
      <c r="K768" s="16" t="n">
        <v>52.5877876281738</v>
      </c>
      <c r="L768" s="16" t="n">
        <v>-2.14124155044556</v>
      </c>
      <c r="M768" s="16" t="s">
        <v>98</v>
      </c>
      <c r="N768" s="16" t="s">
        <v>4403</v>
      </c>
      <c r="O768" s="16"/>
      <c r="P768" s="16" t="s">
        <v>4404</v>
      </c>
      <c r="Q768" s="16" t="s">
        <v>100</v>
      </c>
    </row>
    <row r="769" customFormat="false" ht="15" hidden="false" customHeight="false" outlineLevel="0" collapsed="false">
      <c r="A769" s="16" t="n">
        <v>61718</v>
      </c>
      <c r="B769" s="16" t="s">
        <v>4405</v>
      </c>
      <c r="C769" s="16" t="s">
        <v>4406</v>
      </c>
      <c r="D769" s="16" t="s">
        <v>22</v>
      </c>
      <c r="E769" s="16" t="s">
        <v>4235</v>
      </c>
      <c r="F769" s="16" t="s">
        <v>2485</v>
      </c>
      <c r="G769" s="16" t="s">
        <v>4407</v>
      </c>
      <c r="H769" s="16" t="s">
        <v>220</v>
      </c>
      <c r="I769" s="16" t="s">
        <v>36</v>
      </c>
      <c r="J769" s="16" t="s">
        <v>4408</v>
      </c>
      <c r="K769" s="16" t="n">
        <v>53.4533843994141</v>
      </c>
      <c r="L769" s="16" t="n">
        <v>-1.93734776973724</v>
      </c>
      <c r="M769" s="16" t="s">
        <v>100</v>
      </c>
      <c r="N769" s="16"/>
      <c r="O769" s="16"/>
      <c r="P769" s="16"/>
      <c r="Q769" s="16" t="s">
        <v>100</v>
      </c>
    </row>
    <row r="770" customFormat="false" ht="15" hidden="false" customHeight="false" outlineLevel="0" collapsed="false">
      <c r="A770" s="16" t="n">
        <v>61862</v>
      </c>
      <c r="B770" s="16" t="s">
        <v>4409</v>
      </c>
      <c r="C770" s="16" t="s">
        <v>4410</v>
      </c>
      <c r="D770" s="16" t="s">
        <v>22</v>
      </c>
      <c r="E770" s="16" t="s">
        <v>94</v>
      </c>
      <c r="F770" s="16" t="s">
        <v>2354</v>
      </c>
      <c r="G770" s="16" t="s">
        <v>4411</v>
      </c>
      <c r="H770" s="16" t="s">
        <v>48</v>
      </c>
      <c r="I770" s="16" t="s">
        <v>30</v>
      </c>
      <c r="J770" s="16" t="s">
        <v>4412</v>
      </c>
      <c r="K770" s="16" t="n">
        <v>50.2887153625488</v>
      </c>
      <c r="L770" s="16" t="n">
        <v>-3.77881240844727</v>
      </c>
      <c r="M770" s="16" t="s">
        <v>98</v>
      </c>
      <c r="N770" s="16" t="s">
        <v>4413</v>
      </c>
      <c r="O770" s="16"/>
      <c r="P770" s="16"/>
      <c r="Q770" s="16" t="s">
        <v>100</v>
      </c>
    </row>
    <row r="771" customFormat="false" ht="15" hidden="false" customHeight="false" outlineLevel="0" collapsed="false">
      <c r="A771" s="16" t="n">
        <v>61908</v>
      </c>
      <c r="B771" s="16" t="s">
        <v>4414</v>
      </c>
      <c r="C771" s="16" t="s">
        <v>4415</v>
      </c>
      <c r="D771" s="16" t="s">
        <v>22</v>
      </c>
      <c r="E771" s="16" t="s">
        <v>94</v>
      </c>
      <c r="F771" s="16" t="s">
        <v>2591</v>
      </c>
      <c r="G771" s="16" t="s">
        <v>4416</v>
      </c>
      <c r="H771" s="16" t="s">
        <v>2585</v>
      </c>
      <c r="I771" s="16" t="s">
        <v>31</v>
      </c>
      <c r="J771" s="16" t="s">
        <v>4417</v>
      </c>
      <c r="K771" s="16" t="n">
        <v>54.6067047119141</v>
      </c>
      <c r="L771" s="16" t="n">
        <v>-3.13980865478516</v>
      </c>
      <c r="M771" s="16" t="s">
        <v>98</v>
      </c>
      <c r="N771" s="16" t="s">
        <v>4418</v>
      </c>
      <c r="O771" s="16"/>
      <c r="P771" s="16" t="s">
        <v>4419</v>
      </c>
      <c r="Q771" s="16" t="s">
        <v>100</v>
      </c>
    </row>
    <row r="772" customFormat="false" ht="15" hidden="false" customHeight="false" outlineLevel="0" collapsed="false">
      <c r="A772" s="16" t="n">
        <v>61913</v>
      </c>
      <c r="B772" s="16" t="s">
        <v>4420</v>
      </c>
      <c r="C772" s="16" t="s">
        <v>4421</v>
      </c>
      <c r="D772" s="16" t="s">
        <v>22</v>
      </c>
      <c r="E772" s="16" t="s">
        <v>4235</v>
      </c>
      <c r="F772" s="16" t="s">
        <v>2591</v>
      </c>
      <c r="G772" s="16" t="s">
        <v>4422</v>
      </c>
      <c r="H772" s="16" t="s">
        <v>2585</v>
      </c>
      <c r="I772" s="16" t="s">
        <v>31</v>
      </c>
      <c r="J772" s="16" t="s">
        <v>4423</v>
      </c>
      <c r="K772" s="16" t="n">
        <v>54.7070236206055</v>
      </c>
      <c r="L772" s="16" t="n">
        <v>-3.49501895904541</v>
      </c>
      <c r="M772" s="16" t="s">
        <v>98</v>
      </c>
      <c r="N772" s="16" t="s">
        <v>4424</v>
      </c>
      <c r="O772" s="16"/>
      <c r="P772" s="16" t="s">
        <v>4419</v>
      </c>
      <c r="Q772" s="16" t="s">
        <v>100</v>
      </c>
    </row>
    <row r="773" customFormat="false" ht="15" hidden="false" customHeight="false" outlineLevel="0" collapsed="false">
      <c r="A773" s="16" t="n">
        <v>61929</v>
      </c>
      <c r="B773" s="16" t="s">
        <v>4425</v>
      </c>
      <c r="C773" s="16" t="s">
        <v>4426</v>
      </c>
      <c r="D773" s="16" t="s">
        <v>22</v>
      </c>
      <c r="E773" s="16" t="s">
        <v>4235</v>
      </c>
      <c r="F773" s="16" t="s">
        <v>2591</v>
      </c>
      <c r="G773" s="16" t="s">
        <v>4427</v>
      </c>
      <c r="H773" s="16" t="s">
        <v>2585</v>
      </c>
      <c r="I773" s="16" t="s">
        <v>31</v>
      </c>
      <c r="J773" s="16" t="s">
        <v>4428</v>
      </c>
      <c r="K773" s="16" t="n">
        <v>54.8102111816406</v>
      </c>
      <c r="L773" s="16" t="n">
        <v>-2.43981957435608</v>
      </c>
      <c r="M773" s="16" t="s">
        <v>98</v>
      </c>
      <c r="N773" s="16" t="s">
        <v>4429</v>
      </c>
      <c r="O773" s="16"/>
      <c r="P773" s="16" t="s">
        <v>4419</v>
      </c>
      <c r="Q773" s="16" t="s">
        <v>100</v>
      </c>
    </row>
    <row r="774" customFormat="false" ht="15" hidden="false" customHeight="false" outlineLevel="0" collapsed="false">
      <c r="A774" s="16" t="n">
        <v>61939</v>
      </c>
      <c r="B774" s="16" t="s">
        <v>4430</v>
      </c>
      <c r="C774" s="16" t="s">
        <v>4431</v>
      </c>
      <c r="D774" s="16" t="s">
        <v>22</v>
      </c>
      <c r="E774" s="16" t="s">
        <v>4235</v>
      </c>
      <c r="F774" s="16" t="s">
        <v>2559</v>
      </c>
      <c r="G774" s="16" t="s">
        <v>315</v>
      </c>
      <c r="H774" s="16" t="s">
        <v>45</v>
      </c>
      <c r="I774" s="16" t="s">
        <v>29</v>
      </c>
      <c r="J774" s="16" t="s">
        <v>4432</v>
      </c>
      <c r="K774" s="16" t="n">
        <v>51.135498046875</v>
      </c>
      <c r="L774" s="16" t="n">
        <v>0.259751409292221</v>
      </c>
      <c r="M774" s="16" t="s">
        <v>100</v>
      </c>
      <c r="N774" s="16"/>
      <c r="O774" s="16"/>
      <c r="P774" s="16"/>
      <c r="Q774" s="16" t="s">
        <v>100</v>
      </c>
    </row>
    <row r="775" customFormat="false" ht="15" hidden="false" customHeight="false" outlineLevel="0" collapsed="false">
      <c r="A775" s="16" t="n">
        <v>61946</v>
      </c>
      <c r="B775" s="16" t="s">
        <v>4433</v>
      </c>
      <c r="C775" s="16" t="s">
        <v>4434</v>
      </c>
      <c r="D775" s="16" t="s">
        <v>22</v>
      </c>
      <c r="E775" s="16" t="s">
        <v>4235</v>
      </c>
      <c r="F775" s="16" t="s">
        <v>2541</v>
      </c>
      <c r="G775" s="16" t="s">
        <v>4435</v>
      </c>
      <c r="H775" s="16" t="s">
        <v>51</v>
      </c>
      <c r="I775" s="16" t="s">
        <v>29</v>
      </c>
      <c r="J775" s="16" t="s">
        <v>4436</v>
      </c>
      <c r="K775" s="16" t="n">
        <v>51.139820098877</v>
      </c>
      <c r="L775" s="16" t="n">
        <v>-0.989412009716034</v>
      </c>
      <c r="M775" s="16" t="s">
        <v>100</v>
      </c>
      <c r="N775" s="16"/>
      <c r="O775" s="16"/>
      <c r="P775" s="16"/>
      <c r="Q775" s="16" t="s">
        <v>100</v>
      </c>
    </row>
    <row r="776" customFormat="false" ht="15" hidden="false" customHeight="false" outlineLevel="0" collapsed="false">
      <c r="A776" s="16" t="n">
        <v>61968</v>
      </c>
      <c r="B776" s="16" t="s">
        <v>4437</v>
      </c>
      <c r="C776" s="16" t="s">
        <v>4438</v>
      </c>
      <c r="D776" s="16" t="s">
        <v>22</v>
      </c>
      <c r="E776" s="16" t="s">
        <v>94</v>
      </c>
      <c r="F776" s="16" t="s">
        <v>4141</v>
      </c>
      <c r="G776" s="16" t="s">
        <v>329</v>
      </c>
      <c r="H776" s="16" t="s">
        <v>330</v>
      </c>
      <c r="I776" s="16" t="s">
        <v>29</v>
      </c>
      <c r="J776" s="16" t="s">
        <v>4439</v>
      </c>
      <c r="K776" s="16" t="n">
        <v>51.7496566772461</v>
      </c>
      <c r="L776" s="16" t="n">
        <v>-1.21419906616211</v>
      </c>
      <c r="M776" s="16" t="s">
        <v>98</v>
      </c>
      <c r="N776" s="16" t="s">
        <v>4440</v>
      </c>
      <c r="O776" s="16"/>
      <c r="P776" s="16"/>
      <c r="Q776" s="16" t="s">
        <v>100</v>
      </c>
    </row>
    <row r="777" customFormat="false" ht="15" hidden="false" customHeight="false" outlineLevel="0" collapsed="false">
      <c r="A777" s="16" t="n">
        <v>61977</v>
      </c>
      <c r="B777" s="16" t="s">
        <v>4441</v>
      </c>
      <c r="C777" s="16" t="s">
        <v>4442</v>
      </c>
      <c r="D777" s="16" t="s">
        <v>22</v>
      </c>
      <c r="E777" s="16" t="s">
        <v>94</v>
      </c>
      <c r="F777" s="16" t="s">
        <v>4141</v>
      </c>
      <c r="G777" s="16" t="s">
        <v>4443</v>
      </c>
      <c r="H777" s="16" t="s">
        <v>330</v>
      </c>
      <c r="I777" s="16" t="s">
        <v>29</v>
      </c>
      <c r="J777" s="16" t="s">
        <v>4444</v>
      </c>
      <c r="K777" s="16" t="n">
        <v>51.6044273376465</v>
      </c>
      <c r="L777" s="16" t="n">
        <v>-1.26011288166046</v>
      </c>
      <c r="M777" s="16" t="s">
        <v>98</v>
      </c>
      <c r="N777" s="16" t="s">
        <v>4445</v>
      </c>
      <c r="O777" s="16" t="s">
        <v>4446</v>
      </c>
      <c r="P777" s="16" t="s">
        <v>4447</v>
      </c>
      <c r="Q777" s="16" t="s">
        <v>100</v>
      </c>
    </row>
    <row r="778" customFormat="false" ht="15" hidden="false" customHeight="false" outlineLevel="0" collapsed="false">
      <c r="A778" s="16" t="n">
        <v>61991</v>
      </c>
      <c r="B778" s="16" t="s">
        <v>4448</v>
      </c>
      <c r="C778" s="16" t="s">
        <v>4449</v>
      </c>
      <c r="D778" s="16" t="s">
        <v>22</v>
      </c>
      <c r="E778" s="16" t="s">
        <v>94</v>
      </c>
      <c r="F778" s="16" t="s">
        <v>4141</v>
      </c>
      <c r="G778" s="16" t="s">
        <v>4450</v>
      </c>
      <c r="H778" s="16" t="s">
        <v>330</v>
      </c>
      <c r="I778" s="16" t="s">
        <v>29</v>
      </c>
      <c r="J778" s="16" t="s">
        <v>4451</v>
      </c>
      <c r="K778" s="16" t="n">
        <v>51.5946769714355</v>
      </c>
      <c r="L778" s="16" t="n">
        <v>-1.12827908992767</v>
      </c>
      <c r="M778" s="16" t="s">
        <v>100</v>
      </c>
      <c r="N778" s="16"/>
      <c r="O778" s="16"/>
      <c r="P778" s="16"/>
      <c r="Q778" s="16" t="s">
        <v>100</v>
      </c>
    </row>
    <row r="779" customFormat="false" ht="15" hidden="false" customHeight="false" outlineLevel="0" collapsed="false">
      <c r="A779" s="16" t="n">
        <v>61992</v>
      </c>
      <c r="B779" s="16" t="s">
        <v>4452</v>
      </c>
      <c r="C779" s="16" t="s">
        <v>4453</v>
      </c>
      <c r="D779" s="16" t="s">
        <v>22</v>
      </c>
      <c r="E779" s="16" t="s">
        <v>94</v>
      </c>
      <c r="F779" s="16" t="s">
        <v>4141</v>
      </c>
      <c r="G779" s="16" t="s">
        <v>4454</v>
      </c>
      <c r="H779" s="16" t="s">
        <v>330</v>
      </c>
      <c r="I779" s="16" t="s">
        <v>29</v>
      </c>
      <c r="J779" s="16" t="s">
        <v>4455</v>
      </c>
      <c r="K779" s="16" t="n">
        <v>51.5895576477051</v>
      </c>
      <c r="L779" s="16" t="n">
        <v>-1.41854405403137</v>
      </c>
      <c r="M779" s="16" t="s">
        <v>98</v>
      </c>
      <c r="N779" s="16"/>
      <c r="O779" s="16"/>
      <c r="P779" s="16"/>
      <c r="Q779" s="16" t="s">
        <v>100</v>
      </c>
    </row>
    <row r="780" customFormat="false" ht="15" hidden="false" customHeight="false" outlineLevel="0" collapsed="false">
      <c r="A780" s="16" t="n">
        <v>62025</v>
      </c>
      <c r="B780" s="16" t="s">
        <v>4456</v>
      </c>
      <c r="C780" s="16" t="s">
        <v>4457</v>
      </c>
      <c r="D780" s="16" t="s">
        <v>22</v>
      </c>
      <c r="E780" s="16" t="s">
        <v>4235</v>
      </c>
      <c r="F780" s="16" t="s">
        <v>2621</v>
      </c>
      <c r="G780" s="16" t="s">
        <v>2627</v>
      </c>
      <c r="H780" s="16" t="s">
        <v>769</v>
      </c>
      <c r="I780" s="16" t="s">
        <v>36</v>
      </c>
      <c r="J780" s="16" t="s">
        <v>4458</v>
      </c>
      <c r="K780" s="16" t="n">
        <v>52.3067016601563</v>
      </c>
      <c r="L780" s="16" t="n">
        <v>-0.703097462654114</v>
      </c>
      <c r="M780" s="16" t="s">
        <v>100</v>
      </c>
      <c r="N780" s="16"/>
      <c r="O780" s="16"/>
      <c r="P780" s="16"/>
      <c r="Q780" s="16" t="s">
        <v>100</v>
      </c>
    </row>
    <row r="781" customFormat="false" ht="15" hidden="false" customHeight="false" outlineLevel="0" collapsed="false">
      <c r="A781" s="16" t="n">
        <v>62043</v>
      </c>
      <c r="B781" s="16" t="s">
        <v>4459</v>
      </c>
      <c r="C781" s="16" t="s">
        <v>4460</v>
      </c>
      <c r="D781" s="16" t="s">
        <v>22</v>
      </c>
      <c r="E781" s="16" t="s">
        <v>94</v>
      </c>
      <c r="F781" s="16" t="s">
        <v>2665</v>
      </c>
      <c r="G781" s="16" t="s">
        <v>1163</v>
      </c>
      <c r="H781" s="16" t="s">
        <v>814</v>
      </c>
      <c r="I781" s="16" t="s">
        <v>36</v>
      </c>
      <c r="J781" s="16" t="s">
        <v>3268</v>
      </c>
      <c r="K781" s="16" t="n">
        <v>52.9911270141602</v>
      </c>
      <c r="L781" s="16" t="n">
        <v>-0.0099528534337878</v>
      </c>
      <c r="M781" s="16" t="s">
        <v>98</v>
      </c>
      <c r="N781" s="16" t="s">
        <v>4461</v>
      </c>
      <c r="O781" s="16"/>
      <c r="P781" s="16"/>
      <c r="Q781" s="16" t="s">
        <v>100</v>
      </c>
    </row>
    <row r="782" customFormat="false" ht="15" hidden="false" customHeight="false" outlineLevel="0" collapsed="false">
      <c r="A782" s="16" t="n">
        <v>62085</v>
      </c>
      <c r="B782" s="16" t="s">
        <v>4462</v>
      </c>
      <c r="C782" s="16" t="s">
        <v>4463</v>
      </c>
      <c r="D782" s="16" t="s">
        <v>22</v>
      </c>
      <c r="E782" s="16" t="s">
        <v>94</v>
      </c>
      <c r="F782" s="16" t="s">
        <v>2665</v>
      </c>
      <c r="G782" s="16" t="s">
        <v>813</v>
      </c>
      <c r="H782" s="16" t="s">
        <v>814</v>
      </c>
      <c r="I782" s="16" t="s">
        <v>36</v>
      </c>
      <c r="J782" s="16" t="s">
        <v>4464</v>
      </c>
      <c r="K782" s="16" t="n">
        <v>53.1856880187988</v>
      </c>
      <c r="L782" s="16" t="n">
        <v>-0.576419651508331</v>
      </c>
      <c r="M782" s="16" t="s">
        <v>98</v>
      </c>
      <c r="N782" s="16" t="s">
        <v>4465</v>
      </c>
      <c r="O782" s="16"/>
      <c r="P782" s="16"/>
      <c r="Q782" s="16" t="s">
        <v>100</v>
      </c>
    </row>
    <row r="783" customFormat="false" ht="15" hidden="false" customHeight="false" outlineLevel="0" collapsed="false">
      <c r="A783" s="16" t="n">
        <v>62089</v>
      </c>
      <c r="B783" s="16" t="s">
        <v>4466</v>
      </c>
      <c r="C783" s="16" t="s">
        <v>4467</v>
      </c>
      <c r="D783" s="16" t="s">
        <v>22</v>
      </c>
      <c r="E783" s="16" t="s">
        <v>94</v>
      </c>
      <c r="F783" s="16" t="s">
        <v>2665</v>
      </c>
      <c r="G783" s="16" t="s">
        <v>1163</v>
      </c>
      <c r="H783" s="16" t="s">
        <v>814</v>
      </c>
      <c r="I783" s="16" t="s">
        <v>36</v>
      </c>
      <c r="J783" s="16" t="s">
        <v>4468</v>
      </c>
      <c r="K783" s="16" t="n">
        <v>52.9697799682617</v>
      </c>
      <c r="L783" s="16" t="n">
        <v>0.001888801343739</v>
      </c>
      <c r="M783" s="16" t="s">
        <v>98</v>
      </c>
      <c r="N783" s="16" t="s">
        <v>4469</v>
      </c>
      <c r="O783" s="16"/>
      <c r="P783" s="16"/>
      <c r="Q783" s="16" t="s">
        <v>100</v>
      </c>
    </row>
    <row r="784" customFormat="false" ht="15" hidden="false" customHeight="false" outlineLevel="0" collapsed="false">
      <c r="A784" s="16" t="n">
        <v>62140</v>
      </c>
      <c r="B784" s="16" t="s">
        <v>4470</v>
      </c>
      <c r="C784" s="16" t="s">
        <v>4471</v>
      </c>
      <c r="D784" s="16" t="s">
        <v>22</v>
      </c>
      <c r="E784" s="16" t="s">
        <v>4235</v>
      </c>
      <c r="F784" s="16" t="s">
        <v>2632</v>
      </c>
      <c r="G784" s="16" t="s">
        <v>877</v>
      </c>
      <c r="H784" s="16" t="s">
        <v>49</v>
      </c>
      <c r="I784" s="16" t="s">
        <v>32</v>
      </c>
      <c r="J784" s="16" t="s">
        <v>4472</v>
      </c>
      <c r="K784" s="16" t="n">
        <v>51.7193222045898</v>
      </c>
      <c r="L784" s="16" t="n">
        <v>0.459419250488281</v>
      </c>
      <c r="M784" s="16" t="s">
        <v>100</v>
      </c>
      <c r="N784" s="16"/>
      <c r="O784" s="16"/>
      <c r="P784" s="16"/>
      <c r="Q784" s="16" t="s">
        <v>100</v>
      </c>
    </row>
    <row r="785" customFormat="false" ht="15" hidden="false" customHeight="false" outlineLevel="0" collapsed="false">
      <c r="A785" s="16" t="n">
        <v>62173</v>
      </c>
      <c r="B785" s="16" t="s">
        <v>4473</v>
      </c>
      <c r="C785" s="16" t="s">
        <v>4474</v>
      </c>
      <c r="D785" s="16" t="s">
        <v>23</v>
      </c>
      <c r="E785" s="16" t="s">
        <v>94</v>
      </c>
      <c r="F785" s="16" t="s">
        <v>4475</v>
      </c>
      <c r="G785" s="16" t="s">
        <v>3154</v>
      </c>
      <c r="H785" s="16" t="s">
        <v>46</v>
      </c>
      <c r="I785" s="16" t="s">
        <v>29</v>
      </c>
      <c r="J785" s="16" t="s">
        <v>4476</v>
      </c>
      <c r="K785" s="16" t="n">
        <v>51.3344612121582</v>
      </c>
      <c r="L785" s="16" t="n">
        <v>-0.25530943274498</v>
      </c>
      <c r="M785" s="16" t="s">
        <v>98</v>
      </c>
      <c r="N785" s="16" t="s">
        <v>4477</v>
      </c>
      <c r="O785" s="16" t="s">
        <v>4478</v>
      </c>
      <c r="P785" s="16" t="s">
        <v>4479</v>
      </c>
      <c r="Q785" s="16" t="s">
        <v>100</v>
      </c>
    </row>
    <row r="786" customFormat="false" ht="15" hidden="false" customHeight="false" outlineLevel="0" collapsed="false">
      <c r="A786" s="16" t="n">
        <v>62380</v>
      </c>
      <c r="B786" s="16" t="s">
        <v>4480</v>
      </c>
      <c r="C786" s="16" t="s">
        <v>4481</v>
      </c>
      <c r="D786" s="16" t="s">
        <v>23</v>
      </c>
      <c r="E786" s="16" t="s">
        <v>94</v>
      </c>
      <c r="F786" s="16" t="s">
        <v>4482</v>
      </c>
      <c r="G786" s="16" t="s">
        <v>4483</v>
      </c>
      <c r="H786" s="16" t="s">
        <v>49</v>
      </c>
      <c r="I786" s="16" t="s">
        <v>32</v>
      </c>
      <c r="J786" s="16" t="s">
        <v>4484</v>
      </c>
      <c r="K786" s="16" t="n">
        <v>51.62451171875</v>
      </c>
      <c r="L786" s="16" t="n">
        <v>0.032027494162321</v>
      </c>
      <c r="M786" s="16" t="s">
        <v>98</v>
      </c>
      <c r="N786" s="16" t="s">
        <v>4485</v>
      </c>
      <c r="O786" s="16"/>
      <c r="P786" s="16" t="s">
        <v>4486</v>
      </c>
      <c r="Q786" s="16" t="s">
        <v>100</v>
      </c>
    </row>
    <row r="787" customFormat="false" ht="15" hidden="false" customHeight="false" outlineLevel="0" collapsed="false">
      <c r="A787" s="16" t="n">
        <v>62381</v>
      </c>
      <c r="B787" s="16" t="s">
        <v>4487</v>
      </c>
      <c r="C787" s="16" t="s">
        <v>4488</v>
      </c>
      <c r="D787" s="16" t="s">
        <v>22</v>
      </c>
      <c r="E787" s="16" t="s">
        <v>94</v>
      </c>
      <c r="F787" s="16" t="s">
        <v>4482</v>
      </c>
      <c r="G787" s="16" t="s">
        <v>33</v>
      </c>
      <c r="H787" s="16" t="s">
        <v>44</v>
      </c>
      <c r="I787" s="16" t="s">
        <v>33</v>
      </c>
      <c r="J787" s="16" t="s">
        <v>4489</v>
      </c>
      <c r="K787" s="16" t="n">
        <v>51.4357643127441</v>
      </c>
      <c r="L787" s="16" t="n">
        <v>-0.22356978058815</v>
      </c>
      <c r="M787" s="16" t="s">
        <v>98</v>
      </c>
      <c r="N787" s="16" t="s">
        <v>4490</v>
      </c>
      <c r="O787" s="16"/>
      <c r="P787" s="16"/>
      <c r="Q787" s="16" t="s">
        <v>100</v>
      </c>
    </row>
    <row r="788" customFormat="false" ht="15" hidden="false" customHeight="false" outlineLevel="0" collapsed="false">
      <c r="A788" s="16" t="n">
        <v>62382</v>
      </c>
      <c r="B788" s="16" t="s">
        <v>4491</v>
      </c>
      <c r="C788" s="16" t="s">
        <v>4492</v>
      </c>
      <c r="D788" s="16" t="s">
        <v>23</v>
      </c>
      <c r="E788" s="16" t="s">
        <v>94</v>
      </c>
      <c r="F788" s="16" t="s">
        <v>4482</v>
      </c>
      <c r="G788" s="16" t="s">
        <v>33</v>
      </c>
      <c r="H788" s="16" t="s">
        <v>44</v>
      </c>
      <c r="I788" s="16" t="s">
        <v>33</v>
      </c>
      <c r="J788" s="16" t="s">
        <v>4493</v>
      </c>
      <c r="K788" s="16" t="n">
        <v>51.5771675109863</v>
      </c>
      <c r="L788" s="16" t="n">
        <v>-0.155873492360115</v>
      </c>
      <c r="M788" s="16" t="s">
        <v>98</v>
      </c>
      <c r="N788" s="16" t="s">
        <v>4494</v>
      </c>
      <c r="O788" s="16" t="s">
        <v>4495</v>
      </c>
      <c r="P788" s="16" t="s">
        <v>4496</v>
      </c>
      <c r="Q788" s="16" t="s">
        <v>100</v>
      </c>
    </row>
    <row r="789" customFormat="false" ht="15" hidden="false" customHeight="false" outlineLevel="0" collapsed="false">
      <c r="A789" s="16" t="n">
        <v>62396</v>
      </c>
      <c r="B789" s="16" t="s">
        <v>4497</v>
      </c>
      <c r="C789" s="16" t="s">
        <v>4498</v>
      </c>
      <c r="D789" s="16" t="s">
        <v>23</v>
      </c>
      <c r="E789" s="16" t="s">
        <v>94</v>
      </c>
      <c r="F789" s="16" t="s">
        <v>1213</v>
      </c>
      <c r="G789" s="16" t="s">
        <v>33</v>
      </c>
      <c r="H789" s="16" t="s">
        <v>44</v>
      </c>
      <c r="I789" s="16" t="s">
        <v>33</v>
      </c>
      <c r="J789" s="16" t="s">
        <v>4499</v>
      </c>
      <c r="K789" s="16" t="n">
        <v>51.5223655700684</v>
      </c>
      <c r="L789" s="16" t="n">
        <v>-0.15291328728199</v>
      </c>
      <c r="M789" s="16" t="s">
        <v>100</v>
      </c>
      <c r="N789" s="16"/>
      <c r="O789" s="16"/>
      <c r="P789" s="16"/>
      <c r="Q789" s="16" t="s">
        <v>100</v>
      </c>
    </row>
    <row r="790" customFormat="false" ht="15" hidden="false" customHeight="false" outlineLevel="0" collapsed="false">
      <c r="A790" s="16" t="n">
        <v>62397</v>
      </c>
      <c r="B790" s="16" t="s">
        <v>4500</v>
      </c>
      <c r="C790" s="16" t="s">
        <v>3322</v>
      </c>
      <c r="D790" s="16" t="s">
        <v>23</v>
      </c>
      <c r="E790" s="16" t="s">
        <v>94</v>
      </c>
      <c r="F790" s="16" t="s">
        <v>1213</v>
      </c>
      <c r="G790" s="16" t="s">
        <v>33</v>
      </c>
      <c r="H790" s="16" t="s">
        <v>44</v>
      </c>
      <c r="I790" s="16" t="s">
        <v>33</v>
      </c>
      <c r="J790" s="16" t="s">
        <v>4501</v>
      </c>
      <c r="K790" s="16" t="n">
        <v>51.4865188598633</v>
      </c>
      <c r="L790" s="16" t="n">
        <v>-0.150487691164017</v>
      </c>
      <c r="M790" s="16" t="s">
        <v>98</v>
      </c>
      <c r="N790" s="16" t="s">
        <v>4502</v>
      </c>
      <c r="O790" s="16"/>
      <c r="P790" s="16"/>
      <c r="Q790" s="16" t="s">
        <v>100</v>
      </c>
    </row>
    <row r="791" customFormat="false" ht="15" hidden="false" customHeight="false" outlineLevel="0" collapsed="false">
      <c r="A791" s="16" t="n">
        <v>62398</v>
      </c>
      <c r="B791" s="16" t="s">
        <v>4503</v>
      </c>
      <c r="C791" s="16" t="s">
        <v>4504</v>
      </c>
      <c r="D791" s="16" t="s">
        <v>23</v>
      </c>
      <c r="E791" s="16" t="s">
        <v>94</v>
      </c>
      <c r="F791" s="16" t="s">
        <v>1213</v>
      </c>
      <c r="G791" s="16" t="s">
        <v>33</v>
      </c>
      <c r="H791" s="16" t="s">
        <v>44</v>
      </c>
      <c r="I791" s="16" t="s">
        <v>33</v>
      </c>
      <c r="J791" s="16" t="s">
        <v>4505</v>
      </c>
      <c r="K791" s="16" t="n">
        <v>51.5229225158691</v>
      </c>
      <c r="L791" s="16" t="n">
        <v>-0.14435701072216</v>
      </c>
      <c r="M791" s="16" t="s">
        <v>100</v>
      </c>
      <c r="N791" s="16"/>
      <c r="O791" s="16"/>
      <c r="P791" s="16"/>
      <c r="Q791" s="16" t="s">
        <v>100</v>
      </c>
    </row>
    <row r="792" customFormat="false" ht="15" hidden="false" customHeight="false" outlineLevel="0" collapsed="false">
      <c r="A792" s="16" t="n">
        <v>62401</v>
      </c>
      <c r="B792" s="16" t="s">
        <v>4506</v>
      </c>
      <c r="C792" s="16" t="s">
        <v>4507</v>
      </c>
      <c r="D792" s="16" t="s">
        <v>23</v>
      </c>
      <c r="E792" s="16" t="s">
        <v>94</v>
      </c>
      <c r="F792" s="16" t="s">
        <v>1213</v>
      </c>
      <c r="G792" s="16" t="s">
        <v>33</v>
      </c>
      <c r="H792" s="16" t="s">
        <v>44</v>
      </c>
      <c r="I792" s="16" t="s">
        <v>33</v>
      </c>
      <c r="J792" s="16" t="s">
        <v>4508</v>
      </c>
      <c r="K792" s="16" t="n">
        <v>51.5203590393066</v>
      </c>
      <c r="L792" s="16" t="n">
        <v>-0.148180171847343</v>
      </c>
      <c r="M792" s="16" t="s">
        <v>100</v>
      </c>
      <c r="N792" s="16"/>
      <c r="O792" s="16"/>
      <c r="P792" s="16"/>
      <c r="Q792" s="16" t="s">
        <v>100</v>
      </c>
    </row>
    <row r="793" customFormat="false" ht="15" hidden="false" customHeight="false" outlineLevel="0" collapsed="false">
      <c r="A793" s="16" t="n">
        <v>62493</v>
      </c>
      <c r="B793" s="16" t="s">
        <v>4509</v>
      </c>
      <c r="C793" s="16" t="s">
        <v>4510</v>
      </c>
      <c r="D793" s="16" t="s">
        <v>22</v>
      </c>
      <c r="E793" s="16" t="s">
        <v>94</v>
      </c>
      <c r="F793" s="16" t="s">
        <v>2696</v>
      </c>
      <c r="G793" s="16" t="s">
        <v>890</v>
      </c>
      <c r="H793" s="16" t="s">
        <v>45</v>
      </c>
      <c r="I793" s="16" t="s">
        <v>29</v>
      </c>
      <c r="J793" s="16" t="s">
        <v>4511</v>
      </c>
      <c r="K793" s="16" t="n">
        <v>51.3876647949219</v>
      </c>
      <c r="L793" s="16" t="n">
        <v>0.0426306053996086</v>
      </c>
      <c r="M793" s="16" t="s">
        <v>100</v>
      </c>
      <c r="N793" s="16"/>
      <c r="O793" s="16"/>
      <c r="P793" s="16"/>
      <c r="Q793" s="16" t="s">
        <v>100</v>
      </c>
    </row>
    <row r="794" customFormat="false" ht="15" hidden="false" customHeight="false" outlineLevel="0" collapsed="false">
      <c r="A794" s="16" t="n">
        <v>62824</v>
      </c>
      <c r="B794" s="16" t="s">
        <v>4512</v>
      </c>
      <c r="C794" s="16" t="s">
        <v>4513</v>
      </c>
      <c r="D794" s="16" t="s">
        <v>22</v>
      </c>
      <c r="E794" s="16" t="s">
        <v>94</v>
      </c>
      <c r="F794" s="16" t="s">
        <v>2809</v>
      </c>
      <c r="G794" s="16" t="s">
        <v>296</v>
      </c>
      <c r="H794" s="16" t="s">
        <v>297</v>
      </c>
      <c r="I794" s="16" t="s">
        <v>34</v>
      </c>
      <c r="J794" s="16" t="s">
        <v>4514</v>
      </c>
      <c r="K794" s="16" t="n">
        <v>52.7103958129883</v>
      </c>
      <c r="L794" s="16" t="n">
        <v>-2.79772305488586</v>
      </c>
      <c r="M794" s="16" t="s">
        <v>98</v>
      </c>
      <c r="N794" s="16" t="s">
        <v>2811</v>
      </c>
      <c r="O794" s="16"/>
      <c r="P794" s="16" t="s">
        <v>4515</v>
      </c>
      <c r="Q794" s="16" t="s">
        <v>100</v>
      </c>
    </row>
    <row r="795" customFormat="false" ht="15" hidden="false" customHeight="false" outlineLevel="0" collapsed="false">
      <c r="A795" s="16" t="n">
        <v>63030</v>
      </c>
      <c r="B795" s="16" t="s">
        <v>4516</v>
      </c>
      <c r="C795" s="16" t="s">
        <v>4517</v>
      </c>
      <c r="D795" s="16" t="s">
        <v>22</v>
      </c>
      <c r="E795" s="16" t="s">
        <v>4235</v>
      </c>
      <c r="F795" s="16" t="s">
        <v>4518</v>
      </c>
      <c r="G795" s="16" t="s">
        <v>659</v>
      </c>
      <c r="H795" s="16" t="s">
        <v>47</v>
      </c>
      <c r="I795" s="16" t="s">
        <v>31</v>
      </c>
      <c r="J795" s="16" t="s">
        <v>3249</v>
      </c>
      <c r="K795" s="16" t="n">
        <v>53.640266418457</v>
      </c>
      <c r="L795" s="16" t="n">
        <v>-2.12137150764465</v>
      </c>
      <c r="M795" s="16" t="s">
        <v>100</v>
      </c>
      <c r="N795" s="16"/>
      <c r="O795" s="16"/>
      <c r="P795" s="16"/>
      <c r="Q795" s="16" t="s">
        <v>100</v>
      </c>
    </row>
    <row r="796" customFormat="false" ht="15" hidden="false" customHeight="false" outlineLevel="0" collapsed="false">
      <c r="A796" s="16" t="n">
        <v>63171</v>
      </c>
      <c r="B796" s="16" t="s">
        <v>4519</v>
      </c>
      <c r="C796" s="16" t="s">
        <v>4520</v>
      </c>
      <c r="D796" s="16" t="s">
        <v>22</v>
      </c>
      <c r="E796" s="16" t="s">
        <v>4235</v>
      </c>
      <c r="F796" s="16" t="s">
        <v>2888</v>
      </c>
      <c r="G796" s="16" t="s">
        <v>2964</v>
      </c>
      <c r="H796" s="16" t="s">
        <v>2930</v>
      </c>
      <c r="I796" s="16" t="s">
        <v>37</v>
      </c>
      <c r="J796" s="16" t="s">
        <v>4521</v>
      </c>
      <c r="K796" s="16" t="n">
        <v>55.1583557128906</v>
      </c>
      <c r="L796" s="16" t="n">
        <v>-1.69186389446259</v>
      </c>
      <c r="M796" s="16" t="s">
        <v>100</v>
      </c>
      <c r="N796" s="16"/>
      <c r="O796" s="16"/>
      <c r="P796" s="16"/>
      <c r="Q796" s="16" t="s">
        <v>100</v>
      </c>
    </row>
    <row r="797" customFormat="false" ht="15" hidden="false" customHeight="false" outlineLevel="0" collapsed="false">
      <c r="A797" s="16" t="n">
        <v>63219</v>
      </c>
      <c r="B797" s="16" t="s">
        <v>4522</v>
      </c>
      <c r="C797" s="16" t="s">
        <v>4523</v>
      </c>
      <c r="D797" s="16" t="s">
        <v>22</v>
      </c>
      <c r="E797" s="16" t="s">
        <v>4235</v>
      </c>
      <c r="F797" s="16" t="s">
        <v>2987</v>
      </c>
      <c r="G797" s="16" t="s">
        <v>4524</v>
      </c>
      <c r="H797" s="16" t="s">
        <v>330</v>
      </c>
      <c r="I797" s="16" t="s">
        <v>29</v>
      </c>
      <c r="J797" s="16" t="s">
        <v>4525</v>
      </c>
      <c r="K797" s="16" t="n">
        <v>51.6565437316895</v>
      </c>
      <c r="L797" s="16" t="n">
        <v>-1.58829569816589</v>
      </c>
      <c r="M797" s="16" t="s">
        <v>100</v>
      </c>
      <c r="N797" s="16"/>
      <c r="O797" s="16"/>
      <c r="P797" s="16"/>
      <c r="Q797" s="16" t="s">
        <v>100</v>
      </c>
    </row>
    <row r="798" customFormat="false" ht="15" hidden="false" customHeight="false" outlineLevel="0" collapsed="false">
      <c r="A798" s="16" t="n">
        <v>63497</v>
      </c>
      <c r="B798" s="16" t="s">
        <v>4526</v>
      </c>
      <c r="C798" s="16" t="s">
        <v>4527</v>
      </c>
      <c r="D798" s="16" t="s">
        <v>22</v>
      </c>
      <c r="E798" s="16" t="s">
        <v>4235</v>
      </c>
      <c r="F798" s="16" t="s">
        <v>3054</v>
      </c>
      <c r="G798" s="16" t="s">
        <v>594</v>
      </c>
      <c r="H798" s="16" t="s">
        <v>595</v>
      </c>
      <c r="I798" s="16" t="s">
        <v>33</v>
      </c>
      <c r="J798" s="16" t="s">
        <v>1470</v>
      </c>
      <c r="K798" s="16" t="n">
        <v>51.6149253845215</v>
      </c>
      <c r="L798" s="16" t="n">
        <v>-0.445808202028275</v>
      </c>
      <c r="M798" s="16" t="s">
        <v>100</v>
      </c>
      <c r="N798" s="16"/>
      <c r="O798" s="16"/>
      <c r="P798" s="16"/>
      <c r="Q798" s="16" t="s">
        <v>100</v>
      </c>
    </row>
    <row r="799" customFormat="false" ht="15" hidden="false" customHeight="false" outlineLevel="0" collapsed="false">
      <c r="A799" s="16" t="n">
        <v>63570</v>
      </c>
      <c r="B799" s="16" t="s">
        <v>4528</v>
      </c>
      <c r="C799" s="16" t="s">
        <v>4529</v>
      </c>
      <c r="D799" s="16" t="s">
        <v>23</v>
      </c>
      <c r="E799" s="16" t="s">
        <v>94</v>
      </c>
      <c r="F799" s="16" t="s">
        <v>74</v>
      </c>
      <c r="G799" s="16" t="s">
        <v>4530</v>
      </c>
      <c r="H799" s="16" t="s">
        <v>2433</v>
      </c>
      <c r="I799" s="16" t="s">
        <v>38</v>
      </c>
      <c r="J799" s="16" t="s">
        <v>4531</v>
      </c>
      <c r="K799" s="16" t="n">
        <v>53.9174461364746</v>
      </c>
      <c r="L799" s="16" t="n">
        <v>-0.16434770822525</v>
      </c>
      <c r="M799" s="16" t="s">
        <v>98</v>
      </c>
      <c r="N799" s="16" t="s">
        <v>4532</v>
      </c>
      <c r="O799" s="16" t="s">
        <v>3081</v>
      </c>
      <c r="P799" s="16" t="s">
        <v>3082</v>
      </c>
      <c r="Q799" s="16" t="s">
        <v>100</v>
      </c>
    </row>
    <row r="800" customFormat="false" ht="15" hidden="false" customHeight="false" outlineLevel="0" collapsed="false">
      <c r="A800" s="16" t="n">
        <v>63637</v>
      </c>
      <c r="B800" s="16" t="s">
        <v>4533</v>
      </c>
      <c r="C800" s="16" t="s">
        <v>4534</v>
      </c>
      <c r="D800" s="16" t="s">
        <v>22</v>
      </c>
      <c r="E800" s="16" t="s">
        <v>4235</v>
      </c>
      <c r="F800" s="16" t="s">
        <v>3120</v>
      </c>
      <c r="G800" s="16" t="s">
        <v>4535</v>
      </c>
      <c r="H800" s="16" t="s">
        <v>714</v>
      </c>
      <c r="I800" s="16" t="s">
        <v>30</v>
      </c>
      <c r="J800" s="16" t="s">
        <v>4536</v>
      </c>
      <c r="K800" s="16" t="n">
        <v>51.3671340942383</v>
      </c>
      <c r="L800" s="16" t="n">
        <v>-2.13152933120728</v>
      </c>
      <c r="M800" s="16" t="s">
        <v>100</v>
      </c>
      <c r="N800" s="16"/>
      <c r="O800" s="16"/>
      <c r="P800" s="16"/>
      <c r="Q800" s="16" t="s">
        <v>100</v>
      </c>
    </row>
    <row r="801" customFormat="false" ht="15" hidden="false" customHeight="false" outlineLevel="0" collapsed="false">
      <c r="A801" s="16" t="n">
        <v>63638</v>
      </c>
      <c r="B801" s="16" t="s">
        <v>4537</v>
      </c>
      <c r="C801" s="16" t="s">
        <v>4538</v>
      </c>
      <c r="D801" s="16" t="s">
        <v>22</v>
      </c>
      <c r="E801" s="16" t="s">
        <v>4235</v>
      </c>
      <c r="F801" s="16" t="s">
        <v>3120</v>
      </c>
      <c r="G801" s="16" t="s">
        <v>4539</v>
      </c>
      <c r="H801" s="16" t="s">
        <v>714</v>
      </c>
      <c r="I801" s="16" t="s">
        <v>30</v>
      </c>
      <c r="J801" s="16" t="s">
        <v>4540</v>
      </c>
      <c r="K801" s="16" t="n">
        <v>51.2552337646484</v>
      </c>
      <c r="L801" s="16" t="n">
        <v>-2.18346881866455</v>
      </c>
      <c r="M801" s="16" t="s">
        <v>100</v>
      </c>
      <c r="N801" s="16"/>
      <c r="O801" s="16"/>
      <c r="P801" s="16"/>
      <c r="Q801" s="16" t="s">
        <v>100</v>
      </c>
    </row>
    <row r="802" customFormat="false" ht="15" hidden="false" customHeight="false" outlineLevel="0" collapsed="false">
      <c r="A802" s="16" t="n">
        <v>63729</v>
      </c>
      <c r="B802" s="16" t="s">
        <v>4541</v>
      </c>
      <c r="C802" s="16" t="s">
        <v>4542</v>
      </c>
      <c r="D802" s="16" t="s">
        <v>22</v>
      </c>
      <c r="E802" s="16" t="s">
        <v>94</v>
      </c>
      <c r="F802" s="16" t="s">
        <v>71</v>
      </c>
      <c r="G802" s="16" t="s">
        <v>4435</v>
      </c>
      <c r="H802" s="16" t="s">
        <v>51</v>
      </c>
      <c r="I802" s="16" t="s">
        <v>29</v>
      </c>
      <c r="J802" s="16" t="s">
        <v>4436</v>
      </c>
      <c r="K802" s="16" t="n">
        <v>51.139820098877</v>
      </c>
      <c r="L802" s="16" t="n">
        <v>-0.989412009716034</v>
      </c>
      <c r="M802" s="16" t="s">
        <v>98</v>
      </c>
      <c r="N802" s="16" t="s">
        <v>4543</v>
      </c>
      <c r="O802" s="16"/>
      <c r="P802" s="16"/>
      <c r="Q802" s="16" t="s">
        <v>100</v>
      </c>
    </row>
    <row r="803" customFormat="false" ht="15" hidden="false" customHeight="false" outlineLevel="0" collapsed="false">
      <c r="A803" s="16" t="n">
        <v>63764</v>
      </c>
      <c r="B803" s="16" t="s">
        <v>4544</v>
      </c>
      <c r="C803" s="16" t="s">
        <v>4545</v>
      </c>
      <c r="D803" s="16" t="s">
        <v>22</v>
      </c>
      <c r="E803" s="16" t="s">
        <v>4235</v>
      </c>
      <c r="F803" s="16" t="s">
        <v>3140</v>
      </c>
      <c r="G803" s="16" t="s">
        <v>2765</v>
      </c>
      <c r="H803" s="16" t="s">
        <v>46</v>
      </c>
      <c r="I803" s="16" t="s">
        <v>29</v>
      </c>
      <c r="J803" s="16" t="s">
        <v>4546</v>
      </c>
      <c r="K803" s="16" t="n">
        <v>51.3908271789551</v>
      </c>
      <c r="L803" s="16" t="n">
        <v>-0.299936890602112</v>
      </c>
      <c r="M803" s="16" t="s">
        <v>100</v>
      </c>
      <c r="N803" s="16"/>
      <c r="O803" s="16"/>
      <c r="P803" s="16"/>
      <c r="Q803" s="16" t="s">
        <v>100</v>
      </c>
    </row>
    <row r="804" customFormat="false" ht="15" hidden="false" customHeight="false" outlineLevel="0" collapsed="false">
      <c r="A804" s="16" t="n">
        <v>63911</v>
      </c>
      <c r="B804" s="16" t="s">
        <v>4547</v>
      </c>
      <c r="C804" s="16" t="s">
        <v>4548</v>
      </c>
      <c r="D804" s="16" t="s">
        <v>22</v>
      </c>
      <c r="E804" s="16" t="s">
        <v>94</v>
      </c>
      <c r="F804" s="16" t="s">
        <v>3348</v>
      </c>
      <c r="G804" s="16" t="s">
        <v>33</v>
      </c>
      <c r="H804" s="16" t="s">
        <v>44</v>
      </c>
      <c r="I804" s="16" t="s">
        <v>33</v>
      </c>
      <c r="J804" s="16" t="s">
        <v>2749</v>
      </c>
      <c r="K804" s="16" t="n">
        <v>51.5506324768066</v>
      </c>
      <c r="L804" s="16" t="n">
        <v>-0.0460843555629253</v>
      </c>
      <c r="M804" s="16" t="s">
        <v>98</v>
      </c>
      <c r="N804" s="16" t="s">
        <v>4549</v>
      </c>
      <c r="O804" s="16"/>
      <c r="P804" s="16"/>
      <c r="Q804" s="16" t="s">
        <v>100</v>
      </c>
    </row>
    <row r="805" customFormat="false" ht="15" hidden="false" customHeight="false" outlineLevel="0" collapsed="false">
      <c r="A805" s="16" t="n">
        <v>64210</v>
      </c>
      <c r="B805" s="16" t="s">
        <v>4550</v>
      </c>
      <c r="C805" s="16" t="s">
        <v>4551</v>
      </c>
      <c r="D805" s="16" t="s">
        <v>22</v>
      </c>
      <c r="E805" s="16" t="s">
        <v>4235</v>
      </c>
      <c r="F805" s="16" t="s">
        <v>3383</v>
      </c>
      <c r="G805" s="16" t="s">
        <v>116</v>
      </c>
      <c r="H805" s="16" t="s">
        <v>117</v>
      </c>
      <c r="I805" s="16" t="s">
        <v>31</v>
      </c>
      <c r="J805" s="16" t="s">
        <v>4552</v>
      </c>
      <c r="K805" s="16" t="n">
        <v>53.4528884887695</v>
      </c>
      <c r="L805" s="16" t="n">
        <v>-2.274085521698</v>
      </c>
      <c r="M805" s="16" t="s">
        <v>100</v>
      </c>
      <c r="N805" s="16"/>
      <c r="O805" s="16"/>
      <c r="P805" s="16"/>
      <c r="Q805" s="16" t="s">
        <v>100</v>
      </c>
    </row>
    <row r="806" customFormat="false" ht="15" hidden="false" customHeight="false" outlineLevel="0" collapsed="false">
      <c r="A806" s="16" t="n">
        <v>64322</v>
      </c>
      <c r="B806" s="16" t="s">
        <v>4553</v>
      </c>
      <c r="C806" s="16" t="s">
        <v>4554</v>
      </c>
      <c r="D806" s="16" t="s">
        <v>22</v>
      </c>
      <c r="E806" s="16" t="s">
        <v>94</v>
      </c>
      <c r="F806" s="16" t="s">
        <v>3401</v>
      </c>
      <c r="G806" s="16" t="s">
        <v>4555</v>
      </c>
      <c r="H806" s="16" t="s">
        <v>50</v>
      </c>
      <c r="I806" s="16" t="s">
        <v>35</v>
      </c>
      <c r="J806" s="16" t="s">
        <v>4556</v>
      </c>
      <c r="K806" s="16" t="n">
        <v>53.5787200927734</v>
      </c>
      <c r="L806" s="16" t="n">
        <v>-1.78441035747528</v>
      </c>
      <c r="M806" s="16" t="s">
        <v>100</v>
      </c>
      <c r="N806" s="16"/>
      <c r="O806" s="16"/>
      <c r="P806" s="16"/>
      <c r="Q806" s="16" t="s">
        <v>100</v>
      </c>
    </row>
    <row r="807" customFormat="false" ht="15" hidden="false" customHeight="false" outlineLevel="0" collapsed="false">
      <c r="A807" s="16" t="n">
        <v>64355</v>
      </c>
      <c r="B807" s="16" t="s">
        <v>4557</v>
      </c>
      <c r="C807" s="16" t="s">
        <v>4558</v>
      </c>
      <c r="D807" s="16" t="s">
        <v>22</v>
      </c>
      <c r="E807" s="16" t="s">
        <v>4235</v>
      </c>
      <c r="F807" s="16" t="s">
        <v>3401</v>
      </c>
      <c r="G807" s="16" t="s">
        <v>4559</v>
      </c>
      <c r="H807" s="16" t="s">
        <v>50</v>
      </c>
      <c r="I807" s="16" t="s">
        <v>35</v>
      </c>
      <c r="J807" s="16" t="s">
        <v>4560</v>
      </c>
      <c r="K807" s="16" t="n">
        <v>53.9235610961914</v>
      </c>
      <c r="L807" s="16" t="n">
        <v>-1.816033244133</v>
      </c>
      <c r="M807" s="16" t="s">
        <v>100</v>
      </c>
      <c r="N807" s="16"/>
      <c r="O807" s="16"/>
      <c r="P807" s="16"/>
      <c r="Q807" s="16" t="s">
        <v>100</v>
      </c>
    </row>
    <row r="808" customFormat="false" ht="15" hidden="false" customHeight="false" outlineLevel="0" collapsed="false">
      <c r="A808" s="16" t="n">
        <v>64419</v>
      </c>
      <c r="B808" s="16" t="s">
        <v>4561</v>
      </c>
      <c r="C808" s="16" t="s">
        <v>4562</v>
      </c>
      <c r="D808" s="16" t="s">
        <v>22</v>
      </c>
      <c r="E808" s="16" t="s">
        <v>94</v>
      </c>
      <c r="F808" s="16" t="s">
        <v>3395</v>
      </c>
      <c r="G808" s="16" t="s">
        <v>510</v>
      </c>
      <c r="H808" s="16" t="s">
        <v>510</v>
      </c>
      <c r="I808" s="16" t="s">
        <v>29</v>
      </c>
      <c r="J808" s="16" t="s">
        <v>4563</v>
      </c>
      <c r="K808" s="16" t="n">
        <v>51.5247802734375</v>
      </c>
      <c r="L808" s="16" t="n">
        <v>-0.74487566947937</v>
      </c>
      <c r="M808" s="16" t="s">
        <v>98</v>
      </c>
      <c r="N808" s="16" t="s">
        <v>4564</v>
      </c>
      <c r="O808" s="16"/>
      <c r="P808" s="16" t="s">
        <v>4565</v>
      </c>
      <c r="Q808" s="16" t="s">
        <v>100</v>
      </c>
    </row>
    <row r="809" customFormat="false" ht="15" hidden="false" customHeight="false" outlineLevel="0" collapsed="false">
      <c r="A809" s="16" t="n">
        <v>64420</v>
      </c>
      <c r="B809" s="16" t="s">
        <v>4566</v>
      </c>
      <c r="C809" s="16" t="s">
        <v>4567</v>
      </c>
      <c r="D809" s="16" t="s">
        <v>22</v>
      </c>
      <c r="E809" s="16" t="s">
        <v>94</v>
      </c>
      <c r="F809" s="16" t="s">
        <v>3395</v>
      </c>
      <c r="G809" s="16" t="s">
        <v>509</v>
      </c>
      <c r="H809" s="16" t="s">
        <v>510</v>
      </c>
      <c r="I809" s="16" t="s">
        <v>29</v>
      </c>
      <c r="J809" s="16" t="s">
        <v>4568</v>
      </c>
      <c r="K809" s="16" t="n">
        <v>51.5053596496582</v>
      </c>
      <c r="L809" s="16" t="n">
        <v>-0.593743085861206</v>
      </c>
      <c r="M809" s="16" t="s">
        <v>98</v>
      </c>
      <c r="N809" s="16" t="s">
        <v>4569</v>
      </c>
      <c r="O809" s="16"/>
      <c r="P809" s="16" t="s">
        <v>4570</v>
      </c>
      <c r="Q809" s="16" t="s">
        <v>100</v>
      </c>
    </row>
    <row r="810" customFormat="false" ht="15" hidden="false" customHeight="false" outlineLevel="0" collapsed="false">
      <c r="A810" s="16" t="n">
        <v>65308</v>
      </c>
      <c r="B810" s="16" t="s">
        <v>4571</v>
      </c>
      <c r="C810" s="16" t="s">
        <v>4572</v>
      </c>
      <c r="D810" s="16" t="s">
        <v>22</v>
      </c>
      <c r="E810" s="16" t="s">
        <v>4235</v>
      </c>
      <c r="F810" s="16" t="s">
        <v>4573</v>
      </c>
      <c r="G810" s="16" t="s">
        <v>3920</v>
      </c>
      <c r="H810" s="16" t="s">
        <v>220</v>
      </c>
      <c r="I810" s="16" t="s">
        <v>36</v>
      </c>
      <c r="J810" s="16" t="s">
        <v>3921</v>
      </c>
      <c r="K810" s="16" t="n">
        <v>52.988094329834</v>
      </c>
      <c r="L810" s="16" t="n">
        <v>-1.32080292701721</v>
      </c>
      <c r="M810" s="16" t="s">
        <v>98</v>
      </c>
      <c r="N810" s="16" t="s">
        <v>4574</v>
      </c>
      <c r="O810" s="16"/>
      <c r="P810" s="16"/>
      <c r="Q810" s="16" t="s">
        <v>100</v>
      </c>
    </row>
    <row r="811" customFormat="false" ht="15" hidden="false" customHeight="false" outlineLevel="0" collapsed="false">
      <c r="A811" s="16" t="n">
        <v>65344</v>
      </c>
      <c r="B811" s="16" t="s">
        <v>4575</v>
      </c>
      <c r="C811" s="16" t="s">
        <v>4576</v>
      </c>
      <c r="D811" s="16" t="s">
        <v>22</v>
      </c>
      <c r="E811" s="16" t="s">
        <v>4235</v>
      </c>
      <c r="F811" s="16" t="s">
        <v>3624</v>
      </c>
      <c r="G811" s="16" t="s">
        <v>3614</v>
      </c>
      <c r="H811" s="16" t="s">
        <v>47</v>
      </c>
      <c r="I811" s="16" t="s">
        <v>31</v>
      </c>
      <c r="J811" s="16" t="s">
        <v>4577</v>
      </c>
      <c r="K811" s="16" t="n">
        <v>53.7384834289551</v>
      </c>
      <c r="L811" s="16" t="n">
        <v>-2.94731450080872</v>
      </c>
      <c r="M811" s="16" t="s">
        <v>98</v>
      </c>
      <c r="N811" s="16" t="s">
        <v>4578</v>
      </c>
      <c r="O811" s="16"/>
      <c r="P811" s="16"/>
      <c r="Q811" s="16" t="s">
        <v>100</v>
      </c>
    </row>
    <row r="812" customFormat="false" ht="15" hidden="false" customHeight="false" outlineLevel="0" collapsed="false">
      <c r="A812" s="16" t="n">
        <v>65351</v>
      </c>
      <c r="B812" s="16" t="s">
        <v>4579</v>
      </c>
      <c r="C812" s="16" t="s">
        <v>4580</v>
      </c>
      <c r="D812" s="16" t="s">
        <v>22</v>
      </c>
      <c r="E812" s="16" t="s">
        <v>94</v>
      </c>
      <c r="F812" s="16" t="s">
        <v>73</v>
      </c>
      <c r="G812" s="16" t="s">
        <v>4581</v>
      </c>
      <c r="H812" s="16" t="s">
        <v>942</v>
      </c>
      <c r="I812" s="16" t="s">
        <v>37</v>
      </c>
      <c r="J812" s="16" t="s">
        <v>4582</v>
      </c>
      <c r="K812" s="16" t="n">
        <v>54.7540702819824</v>
      </c>
      <c r="L812" s="16" t="n">
        <v>-1.33302342891693</v>
      </c>
      <c r="M812" s="16" t="s">
        <v>98</v>
      </c>
      <c r="N812" s="16"/>
      <c r="O812" s="16"/>
      <c r="P812" s="16"/>
      <c r="Q812" s="16" t="s">
        <v>100</v>
      </c>
    </row>
    <row r="813" customFormat="false" ht="15" hidden="false" customHeight="false" outlineLevel="0" collapsed="false">
      <c r="A813" s="16" t="n">
        <v>65430</v>
      </c>
      <c r="B813" s="16" t="s">
        <v>4583</v>
      </c>
      <c r="C813" s="16" t="s">
        <v>4584</v>
      </c>
      <c r="D813" s="16" t="s">
        <v>22</v>
      </c>
      <c r="E813" s="16" t="s">
        <v>4235</v>
      </c>
      <c r="F813" s="16" t="s">
        <v>73</v>
      </c>
      <c r="G813" s="16" t="s">
        <v>3463</v>
      </c>
      <c r="H813" s="16" t="s">
        <v>942</v>
      </c>
      <c r="I813" s="16" t="s">
        <v>37</v>
      </c>
      <c r="J813" s="16" t="s">
        <v>4585</v>
      </c>
      <c r="K813" s="16" t="n">
        <v>54.7480125427246</v>
      </c>
      <c r="L813" s="16" t="n">
        <v>-2.01854848861694</v>
      </c>
      <c r="M813" s="16" t="s">
        <v>100</v>
      </c>
      <c r="N813" s="16"/>
      <c r="O813" s="16"/>
      <c r="P813" s="16"/>
      <c r="Q813" s="16" t="s">
        <v>100</v>
      </c>
    </row>
    <row r="814" customFormat="false" ht="15" hidden="false" customHeight="false" outlineLevel="0" collapsed="false">
      <c r="A814" s="16" t="n">
        <v>65433</v>
      </c>
      <c r="B814" s="16" t="s">
        <v>4586</v>
      </c>
      <c r="C814" s="16" t="s">
        <v>4587</v>
      </c>
      <c r="D814" s="16" t="s">
        <v>22</v>
      </c>
      <c r="E814" s="16" t="s">
        <v>94</v>
      </c>
      <c r="F814" s="16" t="s">
        <v>73</v>
      </c>
      <c r="G814" s="16" t="s">
        <v>4588</v>
      </c>
      <c r="H814" s="16" t="s">
        <v>303</v>
      </c>
      <c r="I814" s="16" t="s">
        <v>37</v>
      </c>
      <c r="J814" s="16" t="s">
        <v>4589</v>
      </c>
      <c r="K814" s="16" t="n">
        <v>54.6618881225586</v>
      </c>
      <c r="L814" s="16" t="n">
        <v>-1.44847667217255</v>
      </c>
      <c r="M814" s="16" t="s">
        <v>100</v>
      </c>
      <c r="N814" s="16"/>
      <c r="O814" s="16"/>
      <c r="P814" s="16"/>
      <c r="Q814" s="16" t="s">
        <v>100</v>
      </c>
    </row>
    <row r="815" customFormat="false" ht="15" hidden="false" customHeight="false" outlineLevel="0" collapsed="false">
      <c r="A815" s="16" t="n">
        <v>65579</v>
      </c>
      <c r="B815" s="16" t="s">
        <v>4590</v>
      </c>
      <c r="C815" s="16" t="s">
        <v>4591</v>
      </c>
      <c r="D815" s="16" t="s">
        <v>22</v>
      </c>
      <c r="E815" s="16" t="s">
        <v>4235</v>
      </c>
      <c r="F815" s="16" t="s">
        <v>4592</v>
      </c>
      <c r="G815" s="16" t="s">
        <v>4593</v>
      </c>
      <c r="H815" s="16" t="s">
        <v>52</v>
      </c>
      <c r="I815" s="16" t="s">
        <v>31</v>
      </c>
      <c r="J815" s="16" t="s">
        <v>4594</v>
      </c>
      <c r="K815" s="16" t="n">
        <v>53.4459838867188</v>
      </c>
      <c r="L815" s="16" t="n">
        <v>-2.6352527141571</v>
      </c>
      <c r="M815" s="16" t="s">
        <v>98</v>
      </c>
      <c r="N815" s="16"/>
      <c r="O815" s="16"/>
      <c r="P815" s="16"/>
      <c r="Q815" s="16" t="s">
        <v>100</v>
      </c>
    </row>
    <row r="816" customFormat="false" ht="15" hidden="false" customHeight="false" outlineLevel="0" collapsed="false">
      <c r="A816" s="16" t="n">
        <v>65677</v>
      </c>
      <c r="B816" s="16" t="s">
        <v>4595</v>
      </c>
      <c r="C816" s="16" t="s">
        <v>4596</v>
      </c>
      <c r="D816" s="16" t="s">
        <v>22</v>
      </c>
      <c r="E816" s="16" t="s">
        <v>4235</v>
      </c>
      <c r="F816" s="16" t="s">
        <v>3818</v>
      </c>
      <c r="G816" s="16" t="s">
        <v>428</v>
      </c>
      <c r="H816" s="16" t="s">
        <v>429</v>
      </c>
      <c r="I816" s="16" t="s">
        <v>32</v>
      </c>
      <c r="J816" s="16" t="s">
        <v>4597</v>
      </c>
      <c r="K816" s="16" t="n">
        <v>52.6464920043945</v>
      </c>
      <c r="L816" s="16" t="n">
        <v>1.40959846973419</v>
      </c>
      <c r="M816" s="16" t="s">
        <v>100</v>
      </c>
      <c r="N816" s="16"/>
      <c r="O816" s="16"/>
      <c r="P816" s="16"/>
      <c r="Q816" s="16" t="s">
        <v>100</v>
      </c>
    </row>
    <row r="817" customFormat="false" ht="15" hidden="false" customHeight="false" outlineLevel="0" collapsed="false">
      <c r="A817" s="16" t="n">
        <v>65794</v>
      </c>
      <c r="B817" s="16" t="s">
        <v>4598</v>
      </c>
      <c r="C817" s="16" t="s">
        <v>4599</v>
      </c>
      <c r="D817" s="16" t="s">
        <v>22</v>
      </c>
      <c r="E817" s="16" t="s">
        <v>4235</v>
      </c>
      <c r="F817" s="16" t="s">
        <v>3849</v>
      </c>
      <c r="G817" s="16" t="s">
        <v>4600</v>
      </c>
      <c r="H817" s="16" t="s">
        <v>814</v>
      </c>
      <c r="I817" s="16" t="s">
        <v>36</v>
      </c>
      <c r="J817" s="16" t="s">
        <v>2676</v>
      </c>
      <c r="K817" s="16" t="n">
        <v>52.9210891723633</v>
      </c>
      <c r="L817" s="16" t="n">
        <v>-0.640699148178101</v>
      </c>
      <c r="M817" s="16" t="s">
        <v>98</v>
      </c>
      <c r="N817" s="16" t="s">
        <v>4601</v>
      </c>
      <c r="O817" s="16"/>
      <c r="P817" s="16"/>
      <c r="Q817" s="16" t="s">
        <v>100</v>
      </c>
    </row>
    <row r="818" customFormat="false" ht="15" hidden="false" customHeight="false" outlineLevel="0" collapsed="false">
      <c r="A818" s="16" t="n">
        <v>66507</v>
      </c>
      <c r="B818" s="16" t="s">
        <v>4602</v>
      </c>
      <c r="C818" s="16" t="s">
        <v>4603</v>
      </c>
      <c r="D818" s="16" t="s">
        <v>22</v>
      </c>
      <c r="E818" s="16" t="s">
        <v>4235</v>
      </c>
      <c r="F818" s="16" t="s">
        <v>4604</v>
      </c>
      <c r="G818" s="16" t="s">
        <v>33</v>
      </c>
      <c r="H818" s="16" t="s">
        <v>44</v>
      </c>
      <c r="I818" s="16" t="s">
        <v>33</v>
      </c>
      <c r="J818" s="16" t="s">
        <v>4605</v>
      </c>
      <c r="K818" s="16" t="n">
        <v>51.544116973877</v>
      </c>
      <c r="L818" s="16" t="n">
        <v>-0.134697571396828</v>
      </c>
      <c r="M818" s="16" t="s">
        <v>100</v>
      </c>
      <c r="N818" s="16"/>
      <c r="O818" s="16"/>
      <c r="P818" s="16"/>
      <c r="Q818" s="16" t="s">
        <v>100</v>
      </c>
    </row>
    <row r="819" customFormat="false" ht="15" hidden="false" customHeight="false" outlineLevel="0" collapsed="false">
      <c r="A819" s="16" t="n">
        <v>66513</v>
      </c>
      <c r="B819" s="16" t="s">
        <v>4606</v>
      </c>
      <c r="C819" s="16" t="s">
        <v>4607</v>
      </c>
      <c r="D819" s="16" t="s">
        <v>22</v>
      </c>
      <c r="E819" s="16" t="s">
        <v>4235</v>
      </c>
      <c r="F819" s="16" t="s">
        <v>4604</v>
      </c>
      <c r="G819" s="16" t="s">
        <v>33</v>
      </c>
      <c r="H819" s="16" t="s">
        <v>44</v>
      </c>
      <c r="I819" s="16" t="s">
        <v>33</v>
      </c>
      <c r="J819" s="16" t="s">
        <v>4608</v>
      </c>
      <c r="K819" s="16" t="n">
        <v>51.5504150390625</v>
      </c>
      <c r="L819" s="16" t="n">
        <v>-0.204597055912018</v>
      </c>
      <c r="M819" s="16" t="s">
        <v>100</v>
      </c>
      <c r="N819" s="16"/>
      <c r="O819" s="16"/>
      <c r="P819" s="16"/>
      <c r="Q819" s="16" t="s">
        <v>100</v>
      </c>
    </row>
    <row r="820" customFormat="false" ht="15" hidden="false" customHeight="false" outlineLevel="0" collapsed="false">
      <c r="A820" s="16" t="n">
        <v>66564</v>
      </c>
      <c r="B820" s="16" t="s">
        <v>4609</v>
      </c>
      <c r="C820" s="16" t="s">
        <v>4610</v>
      </c>
      <c r="D820" s="16" t="s">
        <v>22</v>
      </c>
      <c r="E820" s="16" t="s">
        <v>4235</v>
      </c>
      <c r="F820" s="16" t="s">
        <v>3782</v>
      </c>
      <c r="G820" s="16" t="s">
        <v>587</v>
      </c>
      <c r="H820" s="16" t="s">
        <v>47</v>
      </c>
      <c r="I820" s="16" t="s">
        <v>31</v>
      </c>
      <c r="J820" s="16" t="s">
        <v>4611</v>
      </c>
      <c r="K820" s="16" t="n">
        <v>53.5648498535156</v>
      </c>
      <c r="L820" s="16" t="n">
        <v>-2.46483612060547</v>
      </c>
      <c r="M820" s="16" t="s">
        <v>100</v>
      </c>
      <c r="N820" s="16"/>
      <c r="O820" s="16"/>
      <c r="P820" s="16"/>
      <c r="Q820" s="16" t="s">
        <v>100</v>
      </c>
    </row>
    <row r="821" customFormat="false" ht="15" hidden="false" customHeight="false" outlineLevel="0" collapsed="false">
      <c r="A821" s="16" t="n">
        <v>66639</v>
      </c>
      <c r="B821" s="16" t="s">
        <v>4612</v>
      </c>
      <c r="C821" s="16" t="s">
        <v>4613</v>
      </c>
      <c r="D821" s="16" t="s">
        <v>23</v>
      </c>
      <c r="E821" s="16" t="s">
        <v>94</v>
      </c>
      <c r="F821" s="16" t="s">
        <v>4614</v>
      </c>
      <c r="G821" s="16" t="s">
        <v>761</v>
      </c>
      <c r="H821" s="16" t="s">
        <v>762</v>
      </c>
      <c r="I821" s="16" t="s">
        <v>35</v>
      </c>
      <c r="J821" s="16" t="s">
        <v>4615</v>
      </c>
      <c r="K821" s="16" t="n">
        <v>53.4211196899414</v>
      </c>
      <c r="L821" s="16" t="n">
        <v>-1.52031493186951</v>
      </c>
      <c r="M821" s="16" t="s">
        <v>98</v>
      </c>
      <c r="N821" s="16" t="s">
        <v>4616</v>
      </c>
      <c r="O821" s="16"/>
      <c r="P821" s="16" t="s">
        <v>4617</v>
      </c>
      <c r="Q821" s="16" t="s">
        <v>100</v>
      </c>
    </row>
    <row r="822" customFormat="false" ht="15" hidden="false" customHeight="false" outlineLevel="0" collapsed="false">
      <c r="A822" s="16" t="n">
        <v>66640</v>
      </c>
      <c r="B822" s="16" t="s">
        <v>4618</v>
      </c>
      <c r="C822" s="16" t="s">
        <v>4619</v>
      </c>
      <c r="D822" s="16" t="s">
        <v>23</v>
      </c>
      <c r="E822" s="16" t="s">
        <v>94</v>
      </c>
      <c r="F822" s="16" t="s">
        <v>4614</v>
      </c>
      <c r="G822" s="16" t="s">
        <v>761</v>
      </c>
      <c r="H822" s="16" t="s">
        <v>762</v>
      </c>
      <c r="I822" s="16" t="s">
        <v>35</v>
      </c>
      <c r="J822" s="16" t="s">
        <v>4615</v>
      </c>
      <c r="K822" s="16" t="n">
        <v>53.4211196899414</v>
      </c>
      <c r="L822" s="16" t="n">
        <v>-1.52031493186951</v>
      </c>
      <c r="M822" s="16" t="s">
        <v>100</v>
      </c>
      <c r="N822" s="16" t="s">
        <v>4620</v>
      </c>
      <c r="O822" s="16"/>
      <c r="P822" s="16" t="s">
        <v>4617</v>
      </c>
      <c r="Q822" s="16" t="s">
        <v>100</v>
      </c>
    </row>
    <row r="823" customFormat="false" ht="15" hidden="false" customHeight="false" outlineLevel="0" collapsed="false">
      <c r="A823" s="16" t="n">
        <v>66781</v>
      </c>
      <c r="B823" s="16" t="s">
        <v>4621</v>
      </c>
      <c r="C823" s="16" t="s">
        <v>4622</v>
      </c>
      <c r="D823" s="16" t="s">
        <v>22</v>
      </c>
      <c r="E823" s="16" t="s">
        <v>94</v>
      </c>
      <c r="F823" s="16" t="s">
        <v>67</v>
      </c>
      <c r="G823" s="16" t="s">
        <v>706</v>
      </c>
      <c r="H823" s="16" t="s">
        <v>34</v>
      </c>
      <c r="I823" s="16" t="s">
        <v>34</v>
      </c>
      <c r="J823" s="16" t="s">
        <v>4623</v>
      </c>
      <c r="K823" s="16" t="n">
        <v>52.5194435119629</v>
      </c>
      <c r="L823" s="16" t="n">
        <v>-1.85517752170563</v>
      </c>
      <c r="M823" s="16" t="s">
        <v>98</v>
      </c>
      <c r="N823" s="16" t="s">
        <v>4624</v>
      </c>
      <c r="O823" s="16"/>
      <c r="P823" s="16" t="s">
        <v>3724</v>
      </c>
      <c r="Q823" s="16" t="s">
        <v>100</v>
      </c>
    </row>
    <row r="824" customFormat="false" ht="15" hidden="false" customHeight="false" outlineLevel="0" collapsed="false">
      <c r="A824" s="16" t="n">
        <v>67454</v>
      </c>
      <c r="B824" s="16" t="s">
        <v>4625</v>
      </c>
      <c r="C824" s="16" t="s">
        <v>4626</v>
      </c>
      <c r="D824" s="16" t="s">
        <v>22</v>
      </c>
      <c r="E824" s="16" t="s">
        <v>94</v>
      </c>
      <c r="F824" s="16" t="s">
        <v>3222</v>
      </c>
      <c r="G824" s="16" t="s">
        <v>922</v>
      </c>
      <c r="H824" s="16" t="s">
        <v>47</v>
      </c>
      <c r="I824" s="16" t="s">
        <v>31</v>
      </c>
      <c r="J824" s="16" t="s">
        <v>4627</v>
      </c>
      <c r="K824" s="16" t="n">
        <v>53.8321571350098</v>
      </c>
      <c r="L824" s="16" t="n">
        <v>-2.60767149925232</v>
      </c>
      <c r="M824" s="16" t="s">
        <v>98</v>
      </c>
      <c r="N824" s="16" t="s">
        <v>4628</v>
      </c>
      <c r="O824" s="16"/>
      <c r="P824" s="16" t="s">
        <v>4629</v>
      </c>
      <c r="Q824" s="16" t="s">
        <v>100</v>
      </c>
    </row>
    <row r="825" customFormat="false" ht="15" hidden="false" customHeight="false" outlineLevel="0" collapsed="false">
      <c r="A825" s="16" t="n">
        <v>67601</v>
      </c>
      <c r="B825" s="16" t="s">
        <v>4630</v>
      </c>
      <c r="C825" s="16" t="s">
        <v>4631</v>
      </c>
      <c r="D825" s="16" t="s">
        <v>22</v>
      </c>
      <c r="E825" s="16" t="s">
        <v>4235</v>
      </c>
      <c r="F825" s="16" t="s">
        <v>4057</v>
      </c>
      <c r="G825" s="16" t="s">
        <v>4632</v>
      </c>
      <c r="H825" s="16" t="s">
        <v>50</v>
      </c>
      <c r="I825" s="16" t="s">
        <v>35</v>
      </c>
      <c r="J825" s="16" t="s">
        <v>4633</v>
      </c>
      <c r="K825" s="16" t="n">
        <v>53.8221244812012</v>
      </c>
      <c r="L825" s="16" t="n">
        <v>-1.81687223911285</v>
      </c>
      <c r="M825" s="16" t="s">
        <v>100</v>
      </c>
      <c r="N825" s="16"/>
      <c r="O825" s="16"/>
      <c r="P825" s="16"/>
      <c r="Q825" s="16" t="s">
        <v>100</v>
      </c>
    </row>
    <row r="826" customFormat="false" ht="15" hidden="false" customHeight="false" outlineLevel="0" collapsed="false">
      <c r="A826" s="16" t="n">
        <v>67766</v>
      </c>
      <c r="B826" s="16" t="s">
        <v>4634</v>
      </c>
      <c r="C826" s="16" t="s">
        <v>4635</v>
      </c>
      <c r="D826" s="16" t="s">
        <v>22</v>
      </c>
      <c r="E826" s="16" t="s">
        <v>4235</v>
      </c>
      <c r="F826" s="16" t="s">
        <v>3570</v>
      </c>
      <c r="G826" s="16" t="s">
        <v>241</v>
      </c>
      <c r="H826" s="16" t="s">
        <v>214</v>
      </c>
      <c r="I826" s="16" t="s">
        <v>29</v>
      </c>
      <c r="J826" s="16" t="s">
        <v>4636</v>
      </c>
      <c r="K826" s="16" t="n">
        <v>50.9913902282715</v>
      </c>
      <c r="L826" s="16" t="n">
        <v>-0.0930345058441161</v>
      </c>
      <c r="M826" s="16" t="s">
        <v>100</v>
      </c>
      <c r="N826" s="16"/>
      <c r="O826" s="16"/>
      <c r="P826" s="16"/>
      <c r="Q826" s="16" t="s">
        <v>100</v>
      </c>
    </row>
    <row r="827" customFormat="false" ht="15" hidden="false" customHeight="false" outlineLevel="0" collapsed="false">
      <c r="A827" s="16" t="n">
        <v>67843</v>
      </c>
      <c r="B827" s="16" t="s">
        <v>4637</v>
      </c>
      <c r="C827" s="16" t="s">
        <v>4638</v>
      </c>
      <c r="D827" s="16" t="s">
        <v>22</v>
      </c>
      <c r="E827" s="16" t="s">
        <v>94</v>
      </c>
      <c r="F827" s="16" t="s">
        <v>3521</v>
      </c>
      <c r="G827" s="16" t="s">
        <v>4639</v>
      </c>
      <c r="H827" s="16" t="s">
        <v>187</v>
      </c>
      <c r="I827" s="16" t="s">
        <v>29</v>
      </c>
      <c r="J827" s="16" t="s">
        <v>4640</v>
      </c>
      <c r="K827" s="16" t="n">
        <v>50.9659538269043</v>
      </c>
      <c r="L827" s="16" t="n">
        <v>0.10562702268362</v>
      </c>
      <c r="M827" s="16" t="s">
        <v>98</v>
      </c>
      <c r="N827" s="16"/>
      <c r="O827" s="16"/>
      <c r="P827" s="16"/>
      <c r="Q827" s="16" t="s">
        <v>100</v>
      </c>
    </row>
    <row r="828" customFormat="false" ht="15" hidden="false" customHeight="false" outlineLevel="0" collapsed="false">
      <c r="A828" s="16" t="n">
        <v>68511</v>
      </c>
      <c r="B828" s="16" t="s">
        <v>4641</v>
      </c>
      <c r="C828" s="16" t="s">
        <v>2769</v>
      </c>
      <c r="D828" s="16" t="s">
        <v>23</v>
      </c>
      <c r="E828" s="16" t="s">
        <v>94</v>
      </c>
      <c r="F828" s="16" t="s">
        <v>2189</v>
      </c>
      <c r="G828" s="16" t="s">
        <v>33</v>
      </c>
      <c r="H828" s="16" t="s">
        <v>44</v>
      </c>
      <c r="I828" s="16" t="s">
        <v>33</v>
      </c>
      <c r="J828" s="16" t="s">
        <v>2701</v>
      </c>
      <c r="K828" s="16" t="n">
        <v>51.4781913757324</v>
      </c>
      <c r="L828" s="16" t="n">
        <v>0.0500571094453334</v>
      </c>
      <c r="M828" s="16" t="s">
        <v>98</v>
      </c>
      <c r="N828" s="16" t="s">
        <v>4642</v>
      </c>
      <c r="O828" s="16"/>
      <c r="P828" s="16" t="s">
        <v>2192</v>
      </c>
      <c r="Q828" s="16" t="s">
        <v>100</v>
      </c>
    </row>
    <row r="829" customFormat="false" ht="15" hidden="false" customHeight="false" outlineLevel="0" collapsed="false">
      <c r="A829" s="16" t="n">
        <v>68571</v>
      </c>
      <c r="B829" s="16" t="s">
        <v>4643</v>
      </c>
      <c r="C829" s="16" t="s">
        <v>4644</v>
      </c>
      <c r="D829" s="16" t="s">
        <v>23</v>
      </c>
      <c r="E829" s="16" t="s">
        <v>94</v>
      </c>
      <c r="F829" s="16" t="s">
        <v>68</v>
      </c>
      <c r="G829" s="16" t="s">
        <v>1192</v>
      </c>
      <c r="H829" s="16" t="s">
        <v>694</v>
      </c>
      <c r="I829" s="16" t="s">
        <v>36</v>
      </c>
      <c r="J829" s="16" t="s">
        <v>4645</v>
      </c>
      <c r="K829" s="16" t="n">
        <v>52.9714813232422</v>
      </c>
      <c r="L829" s="16" t="n">
        <v>-1.13127815723419</v>
      </c>
      <c r="M829" s="16" t="s">
        <v>98</v>
      </c>
      <c r="N829" s="16" t="s">
        <v>4646</v>
      </c>
      <c r="O829" s="16" t="s">
        <v>4647</v>
      </c>
      <c r="P829" s="16" t="s">
        <v>4648</v>
      </c>
      <c r="Q829" s="16" t="s">
        <v>100</v>
      </c>
    </row>
    <row r="830" customFormat="false" ht="15" hidden="false" customHeight="false" outlineLevel="0" collapsed="false">
      <c r="A830" s="16" t="n">
        <v>68578</v>
      </c>
      <c r="B830" s="16" t="s">
        <v>4649</v>
      </c>
      <c r="C830" s="16" t="s">
        <v>4650</v>
      </c>
      <c r="D830" s="16" t="s">
        <v>22</v>
      </c>
      <c r="E830" s="16" t="s">
        <v>4235</v>
      </c>
      <c r="F830" s="16" t="s">
        <v>3353</v>
      </c>
      <c r="G830" s="16" t="s">
        <v>4651</v>
      </c>
      <c r="H830" s="16" t="s">
        <v>340</v>
      </c>
      <c r="I830" s="16" t="s">
        <v>34</v>
      </c>
      <c r="J830" s="16" t="s">
        <v>4652</v>
      </c>
      <c r="K830" s="16" t="n">
        <v>52.1140556335449</v>
      </c>
      <c r="L830" s="16" t="n">
        <v>-2.07776069641113</v>
      </c>
      <c r="M830" s="16" t="s">
        <v>100</v>
      </c>
      <c r="N830" s="16"/>
      <c r="O830" s="16"/>
      <c r="P830" s="16"/>
      <c r="Q830" s="16" t="s">
        <v>100</v>
      </c>
    </row>
    <row r="831" customFormat="false" ht="15" hidden="false" customHeight="false" outlineLevel="0" collapsed="false">
      <c r="A831" s="16" t="n">
        <v>68584</v>
      </c>
      <c r="B831" s="16" t="s">
        <v>4653</v>
      </c>
      <c r="C831" s="16" t="s">
        <v>4654</v>
      </c>
      <c r="D831" s="16" t="s">
        <v>22</v>
      </c>
      <c r="E831" s="16" t="s">
        <v>4235</v>
      </c>
      <c r="F831" s="16" t="s">
        <v>1714</v>
      </c>
      <c r="G831" s="16" t="s">
        <v>253</v>
      </c>
      <c r="H831" s="16" t="s">
        <v>254</v>
      </c>
      <c r="I831" s="16" t="s">
        <v>32</v>
      </c>
      <c r="J831" s="16" t="s">
        <v>4655</v>
      </c>
      <c r="K831" s="16" t="n">
        <v>52.0568466186523</v>
      </c>
      <c r="L831" s="16" t="n">
        <v>1.19792914390564</v>
      </c>
      <c r="M831" s="16" t="s">
        <v>98</v>
      </c>
      <c r="N831" s="16"/>
      <c r="O831" s="16"/>
      <c r="P831" s="16"/>
      <c r="Q831" s="16" t="s">
        <v>100</v>
      </c>
    </row>
    <row r="832" customFormat="false" ht="15" hidden="false" customHeight="false" outlineLevel="0" collapsed="false">
      <c r="A832" s="16" t="n">
        <v>68591</v>
      </c>
      <c r="B832" s="16" t="s">
        <v>4656</v>
      </c>
      <c r="C832" s="16" t="s">
        <v>4657</v>
      </c>
      <c r="D832" s="16" t="s">
        <v>22</v>
      </c>
      <c r="E832" s="16" t="s">
        <v>94</v>
      </c>
      <c r="F832" s="16" t="s">
        <v>1714</v>
      </c>
      <c r="G832" s="16" t="s">
        <v>139</v>
      </c>
      <c r="H832" s="16" t="s">
        <v>49</v>
      </c>
      <c r="I832" s="16" t="s">
        <v>32</v>
      </c>
      <c r="J832" s="16" t="s">
        <v>140</v>
      </c>
      <c r="K832" s="16" t="n">
        <v>51.9334335327149</v>
      </c>
      <c r="L832" s="16" t="n">
        <v>1.26066851615906</v>
      </c>
      <c r="M832" s="16" t="s">
        <v>98</v>
      </c>
      <c r="N832" s="16"/>
      <c r="O832" s="16"/>
      <c r="P832" s="16"/>
      <c r="Q832" s="16" t="s">
        <v>100</v>
      </c>
    </row>
    <row r="833" customFormat="false" ht="15" hidden="false" customHeight="false" outlineLevel="0" collapsed="false">
      <c r="A833" s="16" t="n">
        <v>68751</v>
      </c>
      <c r="B833" s="16" t="s">
        <v>4658</v>
      </c>
      <c r="C833" s="16" t="s">
        <v>4659</v>
      </c>
      <c r="D833" s="16" t="s">
        <v>22</v>
      </c>
      <c r="E833" s="16" t="s">
        <v>94</v>
      </c>
      <c r="F833" s="16" t="s">
        <v>2274</v>
      </c>
      <c r="G833" s="16" t="s">
        <v>285</v>
      </c>
      <c r="H833" s="16" t="s">
        <v>285</v>
      </c>
      <c r="I833" s="16" t="s">
        <v>34</v>
      </c>
      <c r="J833" s="16" t="s">
        <v>4660</v>
      </c>
      <c r="K833" s="16" t="n">
        <v>52.8112945556641</v>
      </c>
      <c r="L833" s="16" t="n">
        <v>-2.09777045249939</v>
      </c>
      <c r="M833" s="16" t="s">
        <v>98</v>
      </c>
      <c r="N833" s="16" t="s">
        <v>4661</v>
      </c>
      <c r="O833" s="16"/>
      <c r="P833" s="16" t="s">
        <v>2278</v>
      </c>
      <c r="Q833" s="16" t="s">
        <v>100</v>
      </c>
    </row>
    <row r="834" customFormat="false" ht="15" hidden="false" customHeight="false" outlineLevel="0" collapsed="false">
      <c r="A834" s="16" t="n">
        <v>68956</v>
      </c>
      <c r="B834" s="16" t="s">
        <v>4662</v>
      </c>
      <c r="C834" s="16" t="s">
        <v>4663</v>
      </c>
      <c r="D834" s="16" t="s">
        <v>22</v>
      </c>
      <c r="E834" s="16" t="s">
        <v>94</v>
      </c>
      <c r="F834" s="16" t="s">
        <v>3874</v>
      </c>
      <c r="G834" s="16" t="s">
        <v>3914</v>
      </c>
      <c r="H834" s="16" t="s">
        <v>220</v>
      </c>
      <c r="I834" s="16" t="s">
        <v>36</v>
      </c>
      <c r="J834" s="16" t="s">
        <v>4664</v>
      </c>
      <c r="K834" s="16" t="n">
        <v>53.2481460571289</v>
      </c>
      <c r="L834" s="16" t="n">
        <v>-1.90827322006226</v>
      </c>
      <c r="M834" s="16" t="s">
        <v>98</v>
      </c>
      <c r="N834" s="16" t="s">
        <v>4665</v>
      </c>
      <c r="O834" s="16" t="s">
        <v>3878</v>
      </c>
      <c r="P834" s="16" t="s">
        <v>4666</v>
      </c>
      <c r="Q834" s="16" t="s">
        <v>100</v>
      </c>
    </row>
    <row r="835" customFormat="false" ht="15" hidden="false" customHeight="false" outlineLevel="0" collapsed="false">
      <c r="A835" s="16" t="n">
        <v>68957</v>
      </c>
      <c r="B835" s="16" t="s">
        <v>4667</v>
      </c>
      <c r="C835" s="16" t="s">
        <v>4668</v>
      </c>
      <c r="D835" s="16" t="s">
        <v>22</v>
      </c>
      <c r="E835" s="16" t="s">
        <v>94</v>
      </c>
      <c r="F835" s="16" t="s">
        <v>3874</v>
      </c>
      <c r="G835" s="16" t="s">
        <v>1930</v>
      </c>
      <c r="H835" s="16" t="s">
        <v>220</v>
      </c>
      <c r="I835" s="16" t="s">
        <v>36</v>
      </c>
      <c r="J835" s="16" t="s">
        <v>4669</v>
      </c>
      <c r="K835" s="16" t="n">
        <v>53.239673614502</v>
      </c>
      <c r="L835" s="16" t="n">
        <v>-1.47946178913117</v>
      </c>
      <c r="M835" s="16" t="s">
        <v>98</v>
      </c>
      <c r="N835" s="16" t="s">
        <v>4670</v>
      </c>
      <c r="O835" s="16" t="s">
        <v>3878</v>
      </c>
      <c r="P835" s="16" t="s">
        <v>4671</v>
      </c>
      <c r="Q835" s="16" t="s">
        <v>100</v>
      </c>
    </row>
    <row r="836" customFormat="false" ht="15" hidden="false" customHeight="false" outlineLevel="0" collapsed="false">
      <c r="A836" s="16" t="n">
        <v>69072</v>
      </c>
      <c r="B836" s="16" t="s">
        <v>4672</v>
      </c>
      <c r="C836" s="16" t="s">
        <v>4673</v>
      </c>
      <c r="D836" s="16" t="s">
        <v>23</v>
      </c>
      <c r="E836" s="16" t="s">
        <v>4235</v>
      </c>
      <c r="F836" s="16" t="s">
        <v>4674</v>
      </c>
      <c r="G836" s="16" t="s">
        <v>197</v>
      </c>
      <c r="H836" s="16" t="s">
        <v>157</v>
      </c>
      <c r="I836" s="16" t="s">
        <v>32</v>
      </c>
      <c r="J836" s="16" t="s">
        <v>4675</v>
      </c>
      <c r="K836" s="16" t="n">
        <v>52.1855812072754</v>
      </c>
      <c r="L836" s="16" t="n">
        <v>0.200364872813225</v>
      </c>
      <c r="M836" s="16" t="s">
        <v>100</v>
      </c>
      <c r="N836" s="16"/>
      <c r="O836" s="16"/>
      <c r="P836" s="16"/>
      <c r="Q836" s="16" t="s">
        <v>100</v>
      </c>
    </row>
    <row r="837" customFormat="false" ht="15" hidden="false" customHeight="false" outlineLevel="0" collapsed="false">
      <c r="A837" s="16" t="n">
        <v>69166</v>
      </c>
      <c r="B837" s="16" t="s">
        <v>4676</v>
      </c>
      <c r="C837" s="16" t="s">
        <v>4677</v>
      </c>
      <c r="D837" s="16" t="s">
        <v>22</v>
      </c>
      <c r="E837" s="16" t="s">
        <v>94</v>
      </c>
      <c r="F837" s="16" t="s">
        <v>73</v>
      </c>
      <c r="G837" s="16" t="s">
        <v>941</v>
      </c>
      <c r="H837" s="16" t="s">
        <v>942</v>
      </c>
      <c r="I837" s="16" t="s">
        <v>37</v>
      </c>
      <c r="J837" s="16" t="s">
        <v>4678</v>
      </c>
      <c r="K837" s="16" t="n">
        <v>54.5248680114746</v>
      </c>
      <c r="L837" s="16" t="n">
        <v>-1.53755688667297</v>
      </c>
      <c r="M837" s="16" t="s">
        <v>98</v>
      </c>
      <c r="N837" s="16" t="s">
        <v>3656</v>
      </c>
      <c r="O837" s="16"/>
      <c r="P837" s="16"/>
      <c r="Q837" s="16" t="s">
        <v>100</v>
      </c>
    </row>
    <row r="838" customFormat="false" ht="15" hidden="false" customHeight="false" outlineLevel="0" collapsed="false">
      <c r="A838" s="16" t="n">
        <v>69172</v>
      </c>
      <c r="B838" s="16" t="s">
        <v>4679</v>
      </c>
      <c r="C838" s="16" t="s">
        <v>4680</v>
      </c>
      <c r="D838" s="16" t="s">
        <v>22</v>
      </c>
      <c r="E838" s="16" t="s">
        <v>94</v>
      </c>
      <c r="F838" s="16" t="s">
        <v>73</v>
      </c>
      <c r="G838" s="16" t="s">
        <v>3463</v>
      </c>
      <c r="H838" s="16" t="s">
        <v>942</v>
      </c>
      <c r="I838" s="16" t="s">
        <v>37</v>
      </c>
      <c r="J838" s="16" t="s">
        <v>4585</v>
      </c>
      <c r="K838" s="16" t="n">
        <v>54.7480125427246</v>
      </c>
      <c r="L838" s="16" t="n">
        <v>-2.01854848861694</v>
      </c>
      <c r="M838" s="16" t="s">
        <v>100</v>
      </c>
      <c r="N838" s="16"/>
      <c r="O838" s="16"/>
      <c r="P838" s="16"/>
      <c r="Q838" s="16" t="s">
        <v>100</v>
      </c>
    </row>
    <row r="839" customFormat="false" ht="15" hidden="false" customHeight="false" outlineLevel="0" collapsed="false">
      <c r="A839" s="16" t="n">
        <v>69295</v>
      </c>
      <c r="B839" s="16" t="s">
        <v>4681</v>
      </c>
      <c r="C839" s="16" t="s">
        <v>4682</v>
      </c>
      <c r="D839" s="16" t="s">
        <v>22</v>
      </c>
      <c r="E839" s="16" t="s">
        <v>4235</v>
      </c>
      <c r="F839" s="16" t="s">
        <v>1921</v>
      </c>
      <c r="G839" s="16" t="s">
        <v>1922</v>
      </c>
      <c r="H839" s="16" t="s">
        <v>762</v>
      </c>
      <c r="I839" s="16" t="s">
        <v>35</v>
      </c>
      <c r="J839" s="16" t="s">
        <v>4683</v>
      </c>
      <c r="K839" s="16" t="n">
        <v>53.4300003051758</v>
      </c>
      <c r="L839" s="16" t="n">
        <v>-1.35241639614105</v>
      </c>
      <c r="M839" s="16" t="s">
        <v>100</v>
      </c>
      <c r="N839" s="16"/>
      <c r="O839" s="16"/>
      <c r="P839" s="16"/>
      <c r="Q839" s="16" t="s">
        <v>100</v>
      </c>
    </row>
    <row r="840" customFormat="false" ht="15" hidden="false" customHeight="false" outlineLevel="0" collapsed="false">
      <c r="A840" s="16" t="n">
        <v>69610</v>
      </c>
      <c r="B840" s="16" t="s">
        <v>4684</v>
      </c>
      <c r="C840" s="16" t="s">
        <v>4685</v>
      </c>
      <c r="D840" s="16" t="s">
        <v>22</v>
      </c>
      <c r="E840" s="16" t="s">
        <v>94</v>
      </c>
      <c r="F840" s="16" t="s">
        <v>1309</v>
      </c>
      <c r="G840" s="16" t="s">
        <v>4686</v>
      </c>
      <c r="H840" s="16" t="s">
        <v>46</v>
      </c>
      <c r="I840" s="16" t="s">
        <v>29</v>
      </c>
      <c r="J840" s="16" t="s">
        <v>4687</v>
      </c>
      <c r="K840" s="16" t="n">
        <v>51.167896270752</v>
      </c>
      <c r="L840" s="16" t="n">
        <v>-0.625385105609894</v>
      </c>
      <c r="M840" s="16" t="s">
        <v>100</v>
      </c>
      <c r="N840" s="16"/>
      <c r="O840" s="16"/>
      <c r="P840" s="16"/>
      <c r="Q840" s="16" t="s">
        <v>100</v>
      </c>
    </row>
    <row r="841" customFormat="false" ht="15" hidden="false" customHeight="false" outlineLevel="0" collapsed="false">
      <c r="A841" s="16" t="n">
        <v>69613</v>
      </c>
      <c r="B841" s="16" t="s">
        <v>4688</v>
      </c>
      <c r="C841" s="16" t="s">
        <v>4689</v>
      </c>
      <c r="D841" s="16" t="s">
        <v>22</v>
      </c>
      <c r="E841" s="16" t="s">
        <v>4235</v>
      </c>
      <c r="F841" s="16" t="s">
        <v>1309</v>
      </c>
      <c r="G841" s="16" t="s">
        <v>700</v>
      </c>
      <c r="H841" s="16" t="s">
        <v>510</v>
      </c>
      <c r="I841" s="16" t="s">
        <v>29</v>
      </c>
      <c r="J841" s="16" t="s">
        <v>4690</v>
      </c>
      <c r="K841" s="16" t="n">
        <v>51.4799041748047</v>
      </c>
      <c r="L841" s="16" t="n">
        <v>-0.612757444381714</v>
      </c>
      <c r="M841" s="16" t="s">
        <v>100</v>
      </c>
      <c r="N841" s="16"/>
      <c r="O841" s="16"/>
      <c r="P841" s="16"/>
      <c r="Q841" s="16" t="s">
        <v>100</v>
      </c>
    </row>
    <row r="842" customFormat="false" ht="15" hidden="false" customHeight="false" outlineLevel="0" collapsed="false">
      <c r="A842" s="16" t="n">
        <v>69632</v>
      </c>
      <c r="B842" s="16" t="s">
        <v>4691</v>
      </c>
      <c r="C842" s="16" t="s">
        <v>4692</v>
      </c>
      <c r="D842" s="16" t="s">
        <v>22</v>
      </c>
      <c r="E842" s="16" t="s">
        <v>4235</v>
      </c>
      <c r="F842" s="16" t="s">
        <v>1278</v>
      </c>
      <c r="G842" s="16" t="s">
        <v>33</v>
      </c>
      <c r="H842" s="16" t="s">
        <v>44</v>
      </c>
      <c r="I842" s="16" t="s">
        <v>33</v>
      </c>
      <c r="J842" s="16" t="s">
        <v>4693</v>
      </c>
      <c r="K842" s="16" t="n">
        <v>51.5837020874023</v>
      </c>
      <c r="L842" s="16" t="n">
        <v>0.0273481719195842</v>
      </c>
      <c r="M842" s="16" t="s">
        <v>98</v>
      </c>
      <c r="N842" s="16"/>
      <c r="O842" s="16"/>
      <c r="P842" s="16"/>
      <c r="Q842" s="16" t="s">
        <v>100</v>
      </c>
    </row>
    <row r="843" customFormat="false" ht="15" hidden="false" customHeight="false" outlineLevel="0" collapsed="false">
      <c r="A843" s="16" t="n">
        <v>69837</v>
      </c>
      <c r="B843" s="16" t="s">
        <v>4694</v>
      </c>
      <c r="C843" s="16" t="s">
        <v>4695</v>
      </c>
      <c r="D843" s="16" t="s">
        <v>22</v>
      </c>
      <c r="E843" s="16" t="s">
        <v>4235</v>
      </c>
      <c r="F843" s="16" t="s">
        <v>73</v>
      </c>
      <c r="G843" s="16" t="s">
        <v>3647</v>
      </c>
      <c r="H843" s="16" t="s">
        <v>942</v>
      </c>
      <c r="I843" s="16" t="s">
        <v>37</v>
      </c>
      <c r="J843" s="16" t="s">
        <v>4696</v>
      </c>
      <c r="K843" s="16" t="n">
        <v>54.7907409667969</v>
      </c>
      <c r="L843" s="16" t="n">
        <v>-1.59239673614502</v>
      </c>
      <c r="M843" s="16" t="s">
        <v>100</v>
      </c>
      <c r="N843" s="16"/>
      <c r="O843" s="16"/>
      <c r="P843" s="16"/>
      <c r="Q843" s="16" t="s">
        <v>100</v>
      </c>
    </row>
    <row r="844" customFormat="false" ht="15" hidden="false" customHeight="false" outlineLevel="0" collapsed="false">
      <c r="A844" s="16" t="n">
        <v>70254</v>
      </c>
      <c r="B844" s="16" t="s">
        <v>4697</v>
      </c>
      <c r="C844" s="16" t="s">
        <v>4698</v>
      </c>
      <c r="D844" s="16" t="s">
        <v>22</v>
      </c>
      <c r="E844" s="16" t="s">
        <v>4235</v>
      </c>
      <c r="F844" s="16" t="s">
        <v>3054</v>
      </c>
      <c r="G844" s="16" t="s">
        <v>33</v>
      </c>
      <c r="H844" s="16" t="s">
        <v>44</v>
      </c>
      <c r="I844" s="16" t="s">
        <v>33</v>
      </c>
      <c r="J844" s="16" t="s">
        <v>4699</v>
      </c>
      <c r="K844" s="16" t="n">
        <v>51.5233879089355</v>
      </c>
      <c r="L844" s="16" t="n">
        <v>-0.21723560988903</v>
      </c>
      <c r="M844" s="16" t="s">
        <v>100</v>
      </c>
      <c r="N844" s="16"/>
      <c r="O844" s="16"/>
      <c r="P844" s="16"/>
      <c r="Q844" s="16" t="s">
        <v>100</v>
      </c>
    </row>
    <row r="845" customFormat="false" ht="15" hidden="false" customHeight="false" outlineLevel="0" collapsed="false">
      <c r="A845" s="16" t="n">
        <v>70368</v>
      </c>
      <c r="B845" s="16" t="s">
        <v>4700</v>
      </c>
      <c r="C845" s="16" t="s">
        <v>4701</v>
      </c>
      <c r="D845" s="16" t="s">
        <v>22</v>
      </c>
      <c r="E845" s="16" t="s">
        <v>94</v>
      </c>
      <c r="F845" s="16" t="s">
        <v>4141</v>
      </c>
      <c r="G845" s="16" t="s">
        <v>329</v>
      </c>
      <c r="H845" s="16" t="s">
        <v>330</v>
      </c>
      <c r="I845" s="16" t="s">
        <v>29</v>
      </c>
      <c r="J845" s="16" t="s">
        <v>4702</v>
      </c>
      <c r="K845" s="16" t="n">
        <v>51.7174263000488</v>
      </c>
      <c r="L845" s="16" t="n">
        <v>-1.2294647693634</v>
      </c>
      <c r="M845" s="16" t="s">
        <v>98</v>
      </c>
      <c r="N845" s="16" t="s">
        <v>4703</v>
      </c>
      <c r="O845" s="16"/>
      <c r="P845" s="16"/>
      <c r="Q845" s="16" t="s">
        <v>100</v>
      </c>
    </row>
    <row r="846" customFormat="false" ht="15" hidden="false" customHeight="false" outlineLevel="0" collapsed="false">
      <c r="A846" s="16" t="n">
        <v>70370</v>
      </c>
      <c r="B846" s="16" t="s">
        <v>4704</v>
      </c>
      <c r="C846" s="16" t="s">
        <v>4705</v>
      </c>
      <c r="D846" s="16" t="s">
        <v>22</v>
      </c>
      <c r="E846" s="16" t="s">
        <v>94</v>
      </c>
      <c r="F846" s="16" t="s">
        <v>4141</v>
      </c>
      <c r="G846" s="16" t="s">
        <v>329</v>
      </c>
      <c r="H846" s="16" t="s">
        <v>330</v>
      </c>
      <c r="I846" s="16" t="s">
        <v>29</v>
      </c>
      <c r="J846" s="16" t="s">
        <v>4706</v>
      </c>
      <c r="K846" s="16" t="n">
        <v>51.7508430480957</v>
      </c>
      <c r="L846" s="16" t="n">
        <v>-1.22230517864227</v>
      </c>
      <c r="M846" s="16" t="s">
        <v>98</v>
      </c>
      <c r="N846" s="16" t="s">
        <v>4703</v>
      </c>
      <c r="O846" s="16"/>
      <c r="P846" s="16" t="s">
        <v>4447</v>
      </c>
      <c r="Q846" s="16" t="s">
        <v>100</v>
      </c>
    </row>
    <row r="847" customFormat="false" ht="15" hidden="false" customHeight="false" outlineLevel="0" collapsed="false">
      <c r="A847" s="16" t="n">
        <v>70406</v>
      </c>
      <c r="B847" s="16" t="s">
        <v>4707</v>
      </c>
      <c r="C847" s="16" t="s">
        <v>4708</v>
      </c>
      <c r="D847" s="16" t="s">
        <v>22</v>
      </c>
      <c r="E847" s="16" t="s">
        <v>94</v>
      </c>
      <c r="F847" s="16" t="s">
        <v>4709</v>
      </c>
      <c r="G847" s="16" t="s">
        <v>4710</v>
      </c>
      <c r="H847" s="16" t="s">
        <v>57</v>
      </c>
      <c r="I847" s="16" t="s">
        <v>32</v>
      </c>
      <c r="J847" s="16" t="s">
        <v>4711</v>
      </c>
      <c r="K847" s="16" t="n">
        <v>51.7039070129395</v>
      </c>
      <c r="L847" s="16" t="n">
        <v>-0.304030776023865</v>
      </c>
      <c r="M847" s="16" t="s">
        <v>98</v>
      </c>
      <c r="N847" s="16" t="s">
        <v>4712</v>
      </c>
      <c r="O847" s="16"/>
      <c r="P847" s="16" t="s">
        <v>4713</v>
      </c>
      <c r="Q847" s="16" t="s">
        <v>100</v>
      </c>
    </row>
    <row r="848" customFormat="false" ht="15" hidden="false" customHeight="false" outlineLevel="0" collapsed="false">
      <c r="A848" s="16" t="n">
        <v>70467</v>
      </c>
      <c r="B848" s="16" t="s">
        <v>4714</v>
      </c>
      <c r="C848" s="16" t="s">
        <v>4715</v>
      </c>
      <c r="D848" s="16" t="s">
        <v>22</v>
      </c>
      <c r="E848" s="16" t="s">
        <v>94</v>
      </c>
      <c r="F848" s="16" t="s">
        <v>4141</v>
      </c>
      <c r="G848" s="16" t="s">
        <v>4716</v>
      </c>
      <c r="H848" s="16" t="s">
        <v>330</v>
      </c>
      <c r="I848" s="16" t="s">
        <v>29</v>
      </c>
      <c r="J848" s="16" t="s">
        <v>4717</v>
      </c>
      <c r="K848" s="16" t="n">
        <v>51.8961944580078</v>
      </c>
      <c r="L848" s="16" t="n">
        <v>-1.15806353092194</v>
      </c>
      <c r="M848" s="16" t="s">
        <v>98</v>
      </c>
      <c r="N848" s="16" t="s">
        <v>4718</v>
      </c>
      <c r="O848" s="16"/>
      <c r="P848" s="16" t="s">
        <v>4719</v>
      </c>
      <c r="Q848" s="16" t="s">
        <v>100</v>
      </c>
    </row>
    <row r="849" customFormat="false" ht="15" hidden="false" customHeight="false" outlineLevel="0" collapsed="false">
      <c r="A849" s="16" t="n">
        <v>70540</v>
      </c>
      <c r="B849" s="16" t="s">
        <v>4720</v>
      </c>
      <c r="C849" s="16" t="s">
        <v>4721</v>
      </c>
      <c r="D849" s="16" t="s">
        <v>22</v>
      </c>
      <c r="E849" s="16" t="s">
        <v>94</v>
      </c>
      <c r="F849" s="16" t="s">
        <v>3014</v>
      </c>
      <c r="G849" s="16" t="s">
        <v>2385</v>
      </c>
      <c r="H849" s="16" t="s">
        <v>54</v>
      </c>
      <c r="I849" s="16" t="s">
        <v>35</v>
      </c>
      <c r="J849" s="16" t="s">
        <v>4722</v>
      </c>
      <c r="K849" s="16" t="n">
        <v>54.404899597168</v>
      </c>
      <c r="L849" s="16" t="n">
        <v>-1.73832666873932</v>
      </c>
      <c r="M849" s="16" t="s">
        <v>100</v>
      </c>
      <c r="N849" s="16"/>
      <c r="O849" s="16"/>
      <c r="P849" s="16"/>
      <c r="Q849" s="16" t="s">
        <v>100</v>
      </c>
    </row>
    <row r="850" customFormat="false" ht="15" hidden="false" customHeight="false" outlineLevel="0" collapsed="false">
      <c r="A850" s="16" t="n">
        <v>70562</v>
      </c>
      <c r="B850" s="16" t="s">
        <v>4723</v>
      </c>
      <c r="C850" s="16" t="s">
        <v>4724</v>
      </c>
      <c r="D850" s="16" t="s">
        <v>22</v>
      </c>
      <c r="E850" s="16" t="s">
        <v>94</v>
      </c>
      <c r="F850" s="16" t="s">
        <v>1610</v>
      </c>
      <c r="G850" s="16" t="s">
        <v>415</v>
      </c>
      <c r="H850" s="16" t="s">
        <v>57</v>
      </c>
      <c r="I850" s="16" t="s">
        <v>32</v>
      </c>
      <c r="J850" s="16" t="s">
        <v>4725</v>
      </c>
      <c r="K850" s="16" t="n">
        <v>51.8190536499023</v>
      </c>
      <c r="L850" s="16" t="n">
        <v>-0.352944642305374</v>
      </c>
      <c r="M850" s="16" t="s">
        <v>100</v>
      </c>
      <c r="N850" s="16"/>
      <c r="O850" s="16"/>
      <c r="P850" s="16"/>
      <c r="Q850" s="16" t="s">
        <v>100</v>
      </c>
    </row>
    <row r="851" customFormat="false" ht="15" hidden="false" customHeight="false" outlineLevel="0" collapsed="false">
      <c r="A851" s="16" t="n">
        <v>70574</v>
      </c>
      <c r="B851" s="16" t="s">
        <v>4726</v>
      </c>
      <c r="C851" s="16" t="s">
        <v>4727</v>
      </c>
      <c r="D851" s="16" t="s">
        <v>22</v>
      </c>
      <c r="E851" s="16" t="s">
        <v>4235</v>
      </c>
      <c r="F851" s="16" t="s">
        <v>3659</v>
      </c>
      <c r="G851" s="16" t="s">
        <v>4728</v>
      </c>
      <c r="H851" s="16" t="s">
        <v>620</v>
      </c>
      <c r="I851" s="16" t="s">
        <v>29</v>
      </c>
      <c r="J851" s="16" t="s">
        <v>4729</v>
      </c>
      <c r="K851" s="16" t="n">
        <v>51.7294387817383</v>
      </c>
      <c r="L851" s="16" t="n">
        <v>-0.824545025825501</v>
      </c>
      <c r="M851" s="16" t="s">
        <v>100</v>
      </c>
      <c r="N851" s="16"/>
      <c r="O851" s="16"/>
      <c r="P851" s="16"/>
      <c r="Q851" s="16" t="s">
        <v>100</v>
      </c>
    </row>
    <row r="852" customFormat="false" ht="15" hidden="false" customHeight="false" outlineLevel="0" collapsed="false">
      <c r="A852" s="16" t="n">
        <v>70616</v>
      </c>
      <c r="B852" s="16" t="s">
        <v>4730</v>
      </c>
      <c r="C852" s="16" t="s">
        <v>4731</v>
      </c>
      <c r="D852" s="16" t="s">
        <v>23</v>
      </c>
      <c r="E852" s="16" t="s">
        <v>94</v>
      </c>
      <c r="F852" s="16" t="s">
        <v>74</v>
      </c>
      <c r="G852" s="16" t="s">
        <v>3259</v>
      </c>
      <c r="H852" s="16" t="s">
        <v>552</v>
      </c>
      <c r="I852" s="16" t="s">
        <v>35</v>
      </c>
      <c r="J852" s="16" t="s">
        <v>3260</v>
      </c>
      <c r="K852" s="16" t="n">
        <v>53.7767333984375</v>
      </c>
      <c r="L852" s="16" t="n">
        <v>-0.444969475269318</v>
      </c>
      <c r="M852" s="16" t="s">
        <v>98</v>
      </c>
      <c r="N852" s="16" t="s">
        <v>4732</v>
      </c>
      <c r="O852" s="16" t="s">
        <v>3081</v>
      </c>
      <c r="P852" s="16" t="s">
        <v>3082</v>
      </c>
      <c r="Q852" s="16" t="s">
        <v>100</v>
      </c>
    </row>
    <row r="853" customFormat="false" ht="15" hidden="false" customHeight="false" outlineLevel="0" collapsed="false">
      <c r="A853" s="16" t="n">
        <v>70635</v>
      </c>
      <c r="B853" s="16" t="s">
        <v>4733</v>
      </c>
      <c r="C853" s="16" t="s">
        <v>4734</v>
      </c>
      <c r="D853" s="16" t="s">
        <v>23</v>
      </c>
      <c r="E853" s="16" t="s">
        <v>4235</v>
      </c>
      <c r="F853" s="16" t="s">
        <v>4184</v>
      </c>
      <c r="G853" s="16" t="s">
        <v>4735</v>
      </c>
      <c r="H853" s="16" t="s">
        <v>552</v>
      </c>
      <c r="I853" s="16" t="s">
        <v>35</v>
      </c>
      <c r="J853" s="16" t="s">
        <v>4736</v>
      </c>
      <c r="K853" s="16" t="n">
        <v>54.0121650695801</v>
      </c>
      <c r="L853" s="16" t="n">
        <v>-0.42321652173996</v>
      </c>
      <c r="M853" s="16" t="s">
        <v>98</v>
      </c>
      <c r="N853" s="16" t="s">
        <v>4737</v>
      </c>
      <c r="O853" s="16"/>
      <c r="P853" s="16"/>
      <c r="Q853" s="16" t="s">
        <v>100</v>
      </c>
    </row>
    <row r="854" customFormat="false" ht="15" hidden="false" customHeight="false" outlineLevel="0" collapsed="false">
      <c r="A854" s="16" t="n">
        <v>70670</v>
      </c>
      <c r="B854" s="16" t="s">
        <v>4738</v>
      </c>
      <c r="C854" s="16" t="s">
        <v>4739</v>
      </c>
      <c r="D854" s="16" t="s">
        <v>22</v>
      </c>
      <c r="E854" s="16" t="s">
        <v>4235</v>
      </c>
      <c r="F854" s="16" t="s">
        <v>74</v>
      </c>
      <c r="G854" s="16" t="s">
        <v>551</v>
      </c>
      <c r="H854" s="16" t="s">
        <v>552</v>
      </c>
      <c r="I854" s="16" t="s">
        <v>35</v>
      </c>
      <c r="J854" s="16" t="s">
        <v>4740</v>
      </c>
      <c r="K854" s="16" t="n">
        <v>53.7413368225098</v>
      </c>
      <c r="L854" s="16" t="n">
        <v>-0.362000048160553</v>
      </c>
      <c r="M854" s="16" t="s">
        <v>98</v>
      </c>
      <c r="N854" s="16" t="s">
        <v>4741</v>
      </c>
      <c r="O854" s="16"/>
      <c r="P854" s="16"/>
      <c r="Q854" s="16" t="s">
        <v>100</v>
      </c>
    </row>
    <row r="855" customFormat="false" ht="15" hidden="false" customHeight="false" outlineLevel="0" collapsed="false">
      <c r="A855" s="16" t="n">
        <v>70809</v>
      </c>
      <c r="B855" s="16" t="s">
        <v>4742</v>
      </c>
      <c r="C855" s="16" t="s">
        <v>4743</v>
      </c>
      <c r="D855" s="16" t="s">
        <v>22</v>
      </c>
      <c r="E855" s="16" t="s">
        <v>4235</v>
      </c>
      <c r="F855" s="16" t="s">
        <v>4098</v>
      </c>
      <c r="G855" s="16" t="s">
        <v>4744</v>
      </c>
      <c r="H855" s="16" t="s">
        <v>49</v>
      </c>
      <c r="I855" s="16" t="s">
        <v>32</v>
      </c>
      <c r="J855" s="16" t="s">
        <v>4745</v>
      </c>
      <c r="K855" s="16" t="n">
        <v>51.5094947814941</v>
      </c>
      <c r="L855" s="16" t="n">
        <v>0.366296917200089</v>
      </c>
      <c r="M855" s="16" t="s">
        <v>98</v>
      </c>
      <c r="N855" s="16"/>
      <c r="O855" s="16"/>
      <c r="P855" s="16"/>
      <c r="Q855" s="16" t="s">
        <v>100</v>
      </c>
    </row>
    <row r="856" customFormat="false" ht="15" hidden="false" customHeight="false" outlineLevel="0" collapsed="false">
      <c r="A856" s="16" t="n">
        <v>70939</v>
      </c>
      <c r="B856" s="16" t="s">
        <v>4746</v>
      </c>
      <c r="C856" s="16" t="s">
        <v>4747</v>
      </c>
      <c r="D856" s="16" t="s">
        <v>22</v>
      </c>
      <c r="E856" s="16" t="s">
        <v>4235</v>
      </c>
      <c r="F856" s="16" t="s">
        <v>3140</v>
      </c>
      <c r="G856" s="16" t="s">
        <v>3154</v>
      </c>
      <c r="H856" s="16" t="s">
        <v>46</v>
      </c>
      <c r="I856" s="16" t="s">
        <v>29</v>
      </c>
      <c r="J856" s="16" t="s">
        <v>4476</v>
      </c>
      <c r="K856" s="16" t="n">
        <v>51.3344612121582</v>
      </c>
      <c r="L856" s="16" t="n">
        <v>-0.25530943274498</v>
      </c>
      <c r="M856" s="16" t="s">
        <v>100</v>
      </c>
      <c r="N856" s="16"/>
      <c r="O856" s="16"/>
      <c r="P856" s="16"/>
      <c r="Q856" s="16" t="s">
        <v>100</v>
      </c>
    </row>
    <row r="857" customFormat="false" ht="15" hidden="false" customHeight="false" outlineLevel="0" collapsed="false">
      <c r="A857" s="16" t="n">
        <v>70948</v>
      </c>
      <c r="B857" s="16" t="s">
        <v>4748</v>
      </c>
      <c r="C857" s="16" t="s">
        <v>4749</v>
      </c>
      <c r="D857" s="16" t="s">
        <v>22</v>
      </c>
      <c r="E857" s="16" t="s">
        <v>4235</v>
      </c>
      <c r="F857" s="16" t="s">
        <v>3140</v>
      </c>
      <c r="G857" s="16" t="s">
        <v>4750</v>
      </c>
      <c r="H857" s="16" t="s">
        <v>46</v>
      </c>
      <c r="I857" s="16" t="s">
        <v>29</v>
      </c>
      <c r="J857" s="16" t="s">
        <v>4751</v>
      </c>
      <c r="K857" s="16" t="n">
        <v>51.3972511291504</v>
      </c>
      <c r="L857" s="16" t="n">
        <v>-0.163247689604759</v>
      </c>
      <c r="M857" s="16" t="s">
        <v>100</v>
      </c>
      <c r="N857" s="16"/>
      <c r="O857" s="16"/>
      <c r="P857" s="16"/>
      <c r="Q857" s="16" t="s">
        <v>100</v>
      </c>
    </row>
    <row r="858" customFormat="false" ht="15" hidden="false" customHeight="false" outlineLevel="0" collapsed="false">
      <c r="A858" s="16" t="n">
        <v>70950</v>
      </c>
      <c r="B858" s="16" t="s">
        <v>4752</v>
      </c>
      <c r="C858" s="16" t="s">
        <v>4401</v>
      </c>
      <c r="D858" s="16" t="s">
        <v>22</v>
      </c>
      <c r="E858" s="16" t="s">
        <v>4235</v>
      </c>
      <c r="F858" s="16" t="s">
        <v>3140</v>
      </c>
      <c r="G858" s="16" t="s">
        <v>3154</v>
      </c>
      <c r="H858" s="16" t="s">
        <v>46</v>
      </c>
      <c r="I858" s="16" t="s">
        <v>29</v>
      </c>
      <c r="J858" s="16" t="s">
        <v>4753</v>
      </c>
      <c r="K858" s="16" t="n">
        <v>51.3493232727051</v>
      </c>
      <c r="L858" s="16" t="n">
        <v>-0.27449044585228</v>
      </c>
      <c r="M858" s="16" t="s">
        <v>100</v>
      </c>
      <c r="N858" s="16"/>
      <c r="O858" s="16"/>
      <c r="P858" s="16"/>
      <c r="Q858" s="16" t="s">
        <v>100</v>
      </c>
    </row>
    <row r="859" customFormat="false" ht="15" hidden="false" customHeight="false" outlineLevel="0" collapsed="false">
      <c r="A859" s="16" t="n">
        <v>71264</v>
      </c>
      <c r="B859" s="16" t="s">
        <v>4754</v>
      </c>
      <c r="C859" s="16" t="s">
        <v>4755</v>
      </c>
      <c r="D859" s="16" t="s">
        <v>22</v>
      </c>
      <c r="E859" s="16" t="s">
        <v>94</v>
      </c>
      <c r="F859" s="16" t="s">
        <v>1937</v>
      </c>
      <c r="G859" s="16" t="s">
        <v>265</v>
      </c>
      <c r="H859" s="16" t="s">
        <v>50</v>
      </c>
      <c r="I859" s="16" t="s">
        <v>35</v>
      </c>
      <c r="J859" s="16" t="s">
        <v>4756</v>
      </c>
      <c r="K859" s="16" t="n">
        <v>53.7993011474609</v>
      </c>
      <c r="L859" s="16" t="n">
        <v>-1.59001100063324</v>
      </c>
      <c r="M859" s="16" t="s">
        <v>98</v>
      </c>
      <c r="N859" s="16" t="s">
        <v>1939</v>
      </c>
      <c r="O859" s="16" t="s">
        <v>1940</v>
      </c>
      <c r="P859" s="16" t="s">
        <v>1941</v>
      </c>
      <c r="Q859" s="16" t="s">
        <v>100</v>
      </c>
    </row>
    <row r="860" customFormat="false" ht="15" hidden="false" customHeight="false" outlineLevel="0" collapsed="false">
      <c r="A860" s="16" t="n">
        <v>71705</v>
      </c>
      <c r="B860" s="16" t="s">
        <v>4757</v>
      </c>
      <c r="C860" s="16" t="s">
        <v>4758</v>
      </c>
      <c r="D860" s="16" t="s">
        <v>22</v>
      </c>
      <c r="E860" s="16" t="s">
        <v>94</v>
      </c>
      <c r="F860" s="16" t="s">
        <v>2665</v>
      </c>
      <c r="G860" s="16" t="s">
        <v>1163</v>
      </c>
      <c r="H860" s="16" t="s">
        <v>814</v>
      </c>
      <c r="I860" s="16" t="s">
        <v>36</v>
      </c>
      <c r="J860" s="16" t="s">
        <v>3268</v>
      </c>
      <c r="K860" s="16" t="n">
        <v>52.9911270141602</v>
      </c>
      <c r="L860" s="16" t="n">
        <v>-0.0099528534337878</v>
      </c>
      <c r="M860" s="16" t="s">
        <v>98</v>
      </c>
      <c r="N860" s="16" t="s">
        <v>4759</v>
      </c>
      <c r="O860" s="16"/>
      <c r="P860" s="16"/>
      <c r="Q860" s="16" t="s">
        <v>100</v>
      </c>
    </row>
    <row r="861" customFormat="false" ht="15" hidden="false" customHeight="false" outlineLevel="0" collapsed="false">
      <c r="A861" s="16" t="n">
        <v>71822</v>
      </c>
      <c r="B861" s="16" t="s">
        <v>4760</v>
      </c>
      <c r="C861" s="16" t="s">
        <v>4761</v>
      </c>
      <c r="D861" s="16" t="s">
        <v>22</v>
      </c>
      <c r="E861" s="16" t="s">
        <v>94</v>
      </c>
      <c r="F861" s="16" t="s">
        <v>3782</v>
      </c>
      <c r="G861" s="16" t="s">
        <v>116</v>
      </c>
      <c r="H861" s="16" t="s">
        <v>117</v>
      </c>
      <c r="I861" s="16" t="s">
        <v>31</v>
      </c>
      <c r="J861" s="16" t="s">
        <v>4762</v>
      </c>
      <c r="K861" s="16" t="n">
        <v>53.5281562805176</v>
      </c>
      <c r="L861" s="16" t="n">
        <v>-2.42519736289978</v>
      </c>
      <c r="M861" s="16" t="s">
        <v>98</v>
      </c>
      <c r="N861" s="16"/>
      <c r="O861" s="16"/>
      <c r="P861" s="16"/>
      <c r="Q861" s="16" t="s">
        <v>100</v>
      </c>
    </row>
    <row r="862" customFormat="false" ht="15" hidden="false" customHeight="false" outlineLevel="0" collapsed="false">
      <c r="A862" s="16" t="n">
        <v>71871</v>
      </c>
      <c r="B862" s="16" t="s">
        <v>4763</v>
      </c>
      <c r="C862" s="16" t="s">
        <v>4764</v>
      </c>
      <c r="D862" s="16" t="s">
        <v>22</v>
      </c>
      <c r="E862" s="16" t="s">
        <v>4235</v>
      </c>
      <c r="F862" s="16" t="s">
        <v>4604</v>
      </c>
      <c r="G862" s="16" t="s">
        <v>33</v>
      </c>
      <c r="H862" s="16" t="s">
        <v>44</v>
      </c>
      <c r="I862" s="16" t="s">
        <v>33</v>
      </c>
      <c r="J862" s="16" t="s">
        <v>4765</v>
      </c>
      <c r="K862" s="16" t="n">
        <v>51.5872573852539</v>
      </c>
      <c r="L862" s="16" t="n">
        <v>-0.148463770747185</v>
      </c>
      <c r="M862" s="16" t="s">
        <v>100</v>
      </c>
      <c r="N862" s="16"/>
      <c r="O862" s="16"/>
      <c r="P862" s="16"/>
      <c r="Q862" s="16" t="s">
        <v>100</v>
      </c>
    </row>
    <row r="863" customFormat="false" ht="15" hidden="false" customHeight="false" outlineLevel="0" collapsed="false">
      <c r="A863" s="16" t="n">
        <v>71957</v>
      </c>
      <c r="B863" s="16" t="s">
        <v>4766</v>
      </c>
      <c r="C863" s="16" t="s">
        <v>4767</v>
      </c>
      <c r="D863" s="16" t="s">
        <v>22</v>
      </c>
      <c r="E863" s="16" t="s">
        <v>4235</v>
      </c>
      <c r="F863" s="16" t="s">
        <v>3782</v>
      </c>
      <c r="G863" s="16" t="s">
        <v>915</v>
      </c>
      <c r="H863" s="16" t="s">
        <v>55</v>
      </c>
      <c r="I863" s="16" t="s">
        <v>31</v>
      </c>
      <c r="J863" s="16" t="s">
        <v>4768</v>
      </c>
      <c r="K863" s="16" t="n">
        <v>53.3837432861328</v>
      </c>
      <c r="L863" s="16" t="n">
        <v>-2.36013197898865</v>
      </c>
      <c r="M863" s="16" t="s">
        <v>100</v>
      </c>
      <c r="N863" s="16"/>
      <c r="O863" s="16"/>
      <c r="P863" s="16"/>
      <c r="Q863" s="16" t="s">
        <v>100</v>
      </c>
    </row>
    <row r="864" customFormat="false" ht="15" hidden="false" customHeight="false" outlineLevel="0" collapsed="false">
      <c r="A864" s="16" t="n">
        <v>72360</v>
      </c>
      <c r="B864" s="16" t="s">
        <v>4769</v>
      </c>
      <c r="C864" s="16" t="s">
        <v>4770</v>
      </c>
      <c r="D864" s="16" t="s">
        <v>22</v>
      </c>
      <c r="E864" s="16" t="s">
        <v>94</v>
      </c>
      <c r="F864" s="16" t="s">
        <v>1430</v>
      </c>
      <c r="G864" s="16" t="s">
        <v>33</v>
      </c>
      <c r="H864" s="16" t="s">
        <v>44</v>
      </c>
      <c r="I864" s="16" t="s">
        <v>33</v>
      </c>
      <c r="J864" s="16" t="s">
        <v>4771</v>
      </c>
      <c r="K864" s="16" t="n">
        <v>51.5334739685059</v>
      </c>
      <c r="L864" s="16" t="n">
        <v>-0.175446599721909</v>
      </c>
      <c r="M864" s="16" t="s">
        <v>100</v>
      </c>
      <c r="N864" s="16"/>
      <c r="O864" s="16"/>
      <c r="P864" s="16"/>
      <c r="Q864" s="16" t="s">
        <v>100</v>
      </c>
    </row>
    <row r="865" customFormat="false" ht="15" hidden="false" customHeight="false" outlineLevel="0" collapsed="false">
      <c r="A865" s="16" t="n">
        <v>72361</v>
      </c>
      <c r="B865" s="16" t="s">
        <v>4772</v>
      </c>
      <c r="C865" s="16" t="s">
        <v>4773</v>
      </c>
      <c r="D865" s="16" t="s">
        <v>22</v>
      </c>
      <c r="E865" s="16" t="s">
        <v>94</v>
      </c>
      <c r="F865" s="16" t="s">
        <v>1430</v>
      </c>
      <c r="G865" s="16" t="s">
        <v>4774</v>
      </c>
      <c r="H865" s="16" t="s">
        <v>57</v>
      </c>
      <c r="I865" s="16" t="s">
        <v>32</v>
      </c>
      <c r="J865" s="16" t="s">
        <v>4775</v>
      </c>
      <c r="K865" s="16" t="n">
        <v>51.6507263183594</v>
      </c>
      <c r="L865" s="16" t="n">
        <v>-0.214137777686119</v>
      </c>
      <c r="M865" s="16" t="s">
        <v>98</v>
      </c>
      <c r="N865" s="16" t="s">
        <v>4776</v>
      </c>
      <c r="O865" s="16"/>
      <c r="P865" s="16" t="s">
        <v>4777</v>
      </c>
      <c r="Q865" s="16" t="s">
        <v>100</v>
      </c>
    </row>
    <row r="866" customFormat="false" ht="15" hidden="false" customHeight="false" outlineLevel="0" collapsed="false">
      <c r="A866" s="16" t="n">
        <v>72503</v>
      </c>
      <c r="B866" s="16" t="s">
        <v>4778</v>
      </c>
      <c r="C866" s="16" t="s">
        <v>4779</v>
      </c>
      <c r="D866" s="16" t="s">
        <v>22</v>
      </c>
      <c r="E866" s="16" t="s">
        <v>4235</v>
      </c>
      <c r="F866" s="16" t="s">
        <v>2928</v>
      </c>
      <c r="G866" s="16" t="s">
        <v>2959</v>
      </c>
      <c r="H866" s="16" t="s">
        <v>2930</v>
      </c>
      <c r="I866" s="16" t="s">
        <v>37</v>
      </c>
      <c r="J866" s="16" t="s">
        <v>2960</v>
      </c>
      <c r="K866" s="16" t="n">
        <v>55.1843109130859</v>
      </c>
      <c r="L866" s="16" t="n">
        <v>-1.54658639431</v>
      </c>
      <c r="M866" s="16" t="s">
        <v>100</v>
      </c>
      <c r="N866" s="16"/>
      <c r="O866" s="16"/>
      <c r="P866" s="16"/>
      <c r="Q866" s="16" t="s">
        <v>100</v>
      </c>
    </row>
    <row r="867" customFormat="false" ht="15" hidden="false" customHeight="false" outlineLevel="0" collapsed="false">
      <c r="A867" s="16" t="n">
        <v>72543</v>
      </c>
      <c r="B867" s="16" t="s">
        <v>4780</v>
      </c>
      <c r="C867" s="16" t="s">
        <v>4781</v>
      </c>
      <c r="D867" s="16" t="s">
        <v>22</v>
      </c>
      <c r="E867" s="16" t="s">
        <v>4235</v>
      </c>
      <c r="F867" s="16" t="s">
        <v>2113</v>
      </c>
      <c r="G867" s="16" t="s">
        <v>1922</v>
      </c>
      <c r="H867" s="16" t="s">
        <v>762</v>
      </c>
      <c r="I867" s="16" t="s">
        <v>35</v>
      </c>
      <c r="J867" s="16" t="s">
        <v>4782</v>
      </c>
      <c r="K867" s="16" t="n">
        <v>53.4909591674805</v>
      </c>
      <c r="L867" s="16" t="n">
        <v>-1.34233975410461</v>
      </c>
      <c r="M867" s="16" t="s">
        <v>100</v>
      </c>
      <c r="N867" s="16"/>
      <c r="O867" s="16"/>
      <c r="P867" s="16"/>
      <c r="Q867" s="16" t="s">
        <v>100</v>
      </c>
    </row>
    <row r="868" customFormat="false" ht="15" hidden="false" customHeight="false" outlineLevel="0" collapsed="false">
      <c r="A868" s="16" t="n">
        <v>72587</v>
      </c>
      <c r="B868" s="16" t="s">
        <v>4783</v>
      </c>
      <c r="C868" s="16" t="s">
        <v>4784</v>
      </c>
      <c r="D868" s="16" t="s">
        <v>22</v>
      </c>
      <c r="E868" s="16" t="s">
        <v>4235</v>
      </c>
      <c r="F868" s="16" t="s">
        <v>2354</v>
      </c>
      <c r="G868" s="16" t="s">
        <v>4785</v>
      </c>
      <c r="H868" s="16" t="s">
        <v>48</v>
      </c>
      <c r="I868" s="16" t="s">
        <v>30</v>
      </c>
      <c r="J868" s="16" t="s">
        <v>4786</v>
      </c>
      <c r="K868" s="16" t="n">
        <v>50.5471839904785</v>
      </c>
      <c r="L868" s="16" t="n">
        <v>-4.15356254577637</v>
      </c>
      <c r="M868" s="16" t="s">
        <v>100</v>
      </c>
      <c r="N868" s="16"/>
      <c r="O868" s="16"/>
      <c r="P868" s="16"/>
      <c r="Q868" s="16" t="s">
        <v>100</v>
      </c>
    </row>
    <row r="869" customFormat="false" ht="15" hidden="false" customHeight="false" outlineLevel="0" collapsed="false">
      <c r="A869" s="16" t="n">
        <v>72595</v>
      </c>
      <c r="B869" s="16" t="s">
        <v>4787</v>
      </c>
      <c r="C869" s="16" t="s">
        <v>4788</v>
      </c>
      <c r="D869" s="16" t="s">
        <v>22</v>
      </c>
      <c r="E869" s="16" t="s">
        <v>94</v>
      </c>
      <c r="F869" s="16" t="s">
        <v>2113</v>
      </c>
      <c r="G869" s="16" t="s">
        <v>1192</v>
      </c>
      <c r="H869" s="16" t="s">
        <v>694</v>
      </c>
      <c r="I869" s="16" t="s">
        <v>36</v>
      </c>
      <c r="J869" s="16" t="s">
        <v>4789</v>
      </c>
      <c r="K869" s="16" t="n">
        <v>52.9930419921875</v>
      </c>
      <c r="L869" s="16" t="n">
        <v>-1.19183993339539</v>
      </c>
      <c r="M869" s="16" t="s">
        <v>98</v>
      </c>
      <c r="N869" s="16" t="s">
        <v>4790</v>
      </c>
      <c r="O869" s="16"/>
      <c r="P869" s="16" t="s">
        <v>4791</v>
      </c>
      <c r="Q869" s="16" t="s">
        <v>100</v>
      </c>
    </row>
    <row r="870" customFormat="false" ht="15" hidden="false" customHeight="false" outlineLevel="0" collapsed="false">
      <c r="A870" s="16" t="n">
        <v>72660</v>
      </c>
      <c r="B870" s="16" t="s">
        <v>4792</v>
      </c>
      <c r="C870" s="16" t="s">
        <v>4793</v>
      </c>
      <c r="D870" s="16" t="s">
        <v>22</v>
      </c>
      <c r="E870" s="16" t="s">
        <v>94</v>
      </c>
      <c r="F870" s="16" t="s">
        <v>3849</v>
      </c>
      <c r="G870" s="16" t="s">
        <v>4794</v>
      </c>
      <c r="H870" s="16" t="s">
        <v>814</v>
      </c>
      <c r="I870" s="16" t="s">
        <v>36</v>
      </c>
      <c r="J870" s="16" t="s">
        <v>4795</v>
      </c>
      <c r="K870" s="16" t="n">
        <v>53.2101974487305</v>
      </c>
      <c r="L870" s="16" t="n">
        <v>-0.114348158240318</v>
      </c>
      <c r="M870" s="16" t="s">
        <v>98</v>
      </c>
      <c r="N870" s="16" t="s">
        <v>4796</v>
      </c>
      <c r="O870" s="16"/>
      <c r="P870" s="16"/>
      <c r="Q870" s="16" t="s">
        <v>100</v>
      </c>
    </row>
    <row r="871" customFormat="false" ht="15" hidden="false" customHeight="false" outlineLevel="0" collapsed="false">
      <c r="A871" s="16" t="n">
        <v>72763</v>
      </c>
      <c r="B871" s="16" t="s">
        <v>4797</v>
      </c>
      <c r="C871" s="16" t="s">
        <v>4798</v>
      </c>
      <c r="D871" s="16" t="s">
        <v>22</v>
      </c>
      <c r="E871" s="16" t="s">
        <v>94</v>
      </c>
      <c r="F871" s="16" t="s">
        <v>2621</v>
      </c>
      <c r="G871" s="16" t="s">
        <v>4799</v>
      </c>
      <c r="H871" s="16" t="s">
        <v>769</v>
      </c>
      <c r="I871" s="16" t="s">
        <v>36</v>
      </c>
      <c r="J871" s="16" t="s">
        <v>4800</v>
      </c>
      <c r="K871" s="16" t="n">
        <v>52.2520408630371</v>
      </c>
      <c r="L871" s="16" t="n">
        <v>-1.16085195541382</v>
      </c>
      <c r="M871" s="16" t="s">
        <v>98</v>
      </c>
      <c r="N871" s="16" t="s">
        <v>4801</v>
      </c>
      <c r="O871" s="16"/>
      <c r="P871" s="16" t="s">
        <v>4802</v>
      </c>
      <c r="Q871" s="16" t="s">
        <v>100</v>
      </c>
    </row>
    <row r="872" customFormat="false" ht="15" hidden="false" customHeight="false" outlineLevel="0" collapsed="false">
      <c r="A872" s="16" t="n">
        <v>72966</v>
      </c>
      <c r="B872" s="16" t="s">
        <v>4803</v>
      </c>
      <c r="C872" s="16" t="s">
        <v>4804</v>
      </c>
      <c r="D872" s="16" t="s">
        <v>22</v>
      </c>
      <c r="E872" s="16" t="s">
        <v>94</v>
      </c>
      <c r="F872" s="16" t="s">
        <v>2621</v>
      </c>
      <c r="G872" s="16" t="s">
        <v>768</v>
      </c>
      <c r="H872" s="16" t="s">
        <v>769</v>
      </c>
      <c r="I872" s="16" t="s">
        <v>36</v>
      </c>
      <c r="J872" s="16" t="s">
        <v>4805</v>
      </c>
      <c r="K872" s="16" t="n">
        <v>52.247615814209</v>
      </c>
      <c r="L872" s="16" t="n">
        <v>-0.96043986082077</v>
      </c>
      <c r="M872" s="16" t="s">
        <v>100</v>
      </c>
      <c r="N872" s="16"/>
      <c r="O872" s="16"/>
      <c r="P872" s="16"/>
      <c r="Q872" s="16" t="s">
        <v>100</v>
      </c>
    </row>
    <row r="873" customFormat="false" ht="15" hidden="false" customHeight="false" outlineLevel="0" collapsed="false">
      <c r="A873" s="16" t="n">
        <v>73017</v>
      </c>
      <c r="B873" s="16" t="s">
        <v>4806</v>
      </c>
      <c r="C873" s="16" t="s">
        <v>4807</v>
      </c>
      <c r="D873" s="16" t="s">
        <v>22</v>
      </c>
      <c r="E873" s="16" t="s">
        <v>94</v>
      </c>
      <c r="F873" s="16" t="s">
        <v>3054</v>
      </c>
      <c r="G873" s="16" t="s">
        <v>33</v>
      </c>
      <c r="H873" s="16" t="s">
        <v>44</v>
      </c>
      <c r="I873" s="16" t="s">
        <v>33</v>
      </c>
      <c r="J873" s="16" t="s">
        <v>4808</v>
      </c>
      <c r="K873" s="16" t="n">
        <v>51.5366516113281</v>
      </c>
      <c r="L873" s="16" t="n">
        <v>-0.131643146276474</v>
      </c>
      <c r="M873" s="16" t="s">
        <v>98</v>
      </c>
      <c r="N873" s="16" t="s">
        <v>4809</v>
      </c>
      <c r="O873" s="16"/>
      <c r="P873" s="16"/>
      <c r="Q873" s="16" t="s">
        <v>100</v>
      </c>
    </row>
    <row r="874" customFormat="false" ht="15" hidden="false" customHeight="false" outlineLevel="0" collapsed="false">
      <c r="A874" s="16" t="n">
        <v>73167</v>
      </c>
      <c r="B874" s="16" t="s">
        <v>4810</v>
      </c>
      <c r="C874" s="16" t="s">
        <v>4811</v>
      </c>
      <c r="D874" s="16" t="s">
        <v>22</v>
      </c>
      <c r="E874" s="16" t="s">
        <v>94</v>
      </c>
      <c r="F874" s="16" t="s">
        <v>4141</v>
      </c>
      <c r="G874" s="16" t="s">
        <v>4812</v>
      </c>
      <c r="H874" s="16" t="s">
        <v>330</v>
      </c>
      <c r="I874" s="16" t="s">
        <v>29</v>
      </c>
      <c r="J874" s="16" t="s">
        <v>4813</v>
      </c>
      <c r="K874" s="16" t="n">
        <v>51.787410736084</v>
      </c>
      <c r="L874" s="16" t="n">
        <v>-1.48984146118164</v>
      </c>
      <c r="M874" s="16" t="s">
        <v>98</v>
      </c>
      <c r="N874" s="16" t="s">
        <v>4814</v>
      </c>
      <c r="O874" s="16"/>
      <c r="P874" s="16" t="s">
        <v>4815</v>
      </c>
      <c r="Q874" s="16" t="s">
        <v>100</v>
      </c>
    </row>
    <row r="875" customFormat="false" ht="15" hidden="false" customHeight="false" outlineLevel="0" collapsed="false">
      <c r="A875" s="16" t="n">
        <v>73169</v>
      </c>
      <c r="B875" s="16" t="s">
        <v>4816</v>
      </c>
      <c r="C875" s="16" t="s">
        <v>4817</v>
      </c>
      <c r="D875" s="16" t="s">
        <v>22</v>
      </c>
      <c r="E875" s="16" t="s">
        <v>94</v>
      </c>
      <c r="F875" s="16" t="s">
        <v>4141</v>
      </c>
      <c r="G875" s="16" t="s">
        <v>4818</v>
      </c>
      <c r="H875" s="16" t="s">
        <v>330</v>
      </c>
      <c r="I875" s="16" t="s">
        <v>29</v>
      </c>
      <c r="J875" s="16" t="s">
        <v>4819</v>
      </c>
      <c r="K875" s="16" t="n">
        <v>51.6700248718262</v>
      </c>
      <c r="L875" s="16" t="n">
        <v>-1.30187630653381</v>
      </c>
      <c r="M875" s="16" t="s">
        <v>98</v>
      </c>
      <c r="N875" s="16" t="s">
        <v>4820</v>
      </c>
      <c r="O875" s="16"/>
      <c r="P875" s="16"/>
      <c r="Q875" s="16" t="s">
        <v>100</v>
      </c>
    </row>
    <row r="876" customFormat="false" ht="15" hidden="false" customHeight="false" outlineLevel="0" collapsed="false">
      <c r="A876" s="16" t="n">
        <v>73233</v>
      </c>
      <c r="B876" s="16" t="s">
        <v>4821</v>
      </c>
      <c r="C876" s="16" t="s">
        <v>4822</v>
      </c>
      <c r="D876" s="16" t="s">
        <v>22</v>
      </c>
      <c r="E876" s="16" t="s">
        <v>4235</v>
      </c>
      <c r="F876" s="16" t="s">
        <v>2987</v>
      </c>
      <c r="G876" s="16" t="s">
        <v>4823</v>
      </c>
      <c r="H876" s="16" t="s">
        <v>208</v>
      </c>
      <c r="I876" s="16" t="s">
        <v>30</v>
      </c>
      <c r="J876" s="16" t="s">
        <v>4824</v>
      </c>
      <c r="K876" s="16" t="n">
        <v>51.992301940918</v>
      </c>
      <c r="L876" s="16" t="n">
        <v>-1.70474946498871</v>
      </c>
      <c r="M876" s="16" t="s">
        <v>100</v>
      </c>
      <c r="N876" s="16"/>
      <c r="O876" s="16"/>
      <c r="P876" s="16"/>
      <c r="Q876" s="16" t="s">
        <v>100</v>
      </c>
    </row>
    <row r="877" customFormat="false" ht="15" hidden="false" customHeight="false" outlineLevel="0" collapsed="false">
      <c r="A877" s="16" t="n">
        <v>73248</v>
      </c>
      <c r="B877" s="16" t="s">
        <v>4825</v>
      </c>
      <c r="C877" s="16" t="s">
        <v>4826</v>
      </c>
      <c r="D877" s="16" t="s">
        <v>22</v>
      </c>
      <c r="E877" s="16" t="s">
        <v>94</v>
      </c>
      <c r="F877" s="16" t="s">
        <v>2611</v>
      </c>
      <c r="G877" s="16" t="s">
        <v>4827</v>
      </c>
      <c r="H877" s="16" t="s">
        <v>714</v>
      </c>
      <c r="I877" s="16" t="s">
        <v>30</v>
      </c>
      <c r="J877" s="16" t="s">
        <v>4828</v>
      </c>
      <c r="K877" s="16" t="n">
        <v>51.2067070007324</v>
      </c>
      <c r="L877" s="16" t="n">
        <v>-2.18170118331909</v>
      </c>
      <c r="M877" s="16" t="s">
        <v>100</v>
      </c>
      <c r="N877" s="16"/>
      <c r="O877" s="16"/>
      <c r="P877" s="16"/>
      <c r="Q877" s="16" t="s">
        <v>100</v>
      </c>
    </row>
    <row r="878" customFormat="false" ht="15" hidden="false" customHeight="false" outlineLevel="0" collapsed="false">
      <c r="A878" s="16" t="n">
        <v>73351</v>
      </c>
      <c r="B878" s="16" t="s">
        <v>4829</v>
      </c>
      <c r="C878" s="16" t="s">
        <v>4830</v>
      </c>
      <c r="D878" s="16" t="s">
        <v>22</v>
      </c>
      <c r="E878" s="16" t="s">
        <v>4235</v>
      </c>
      <c r="F878" s="16" t="s">
        <v>3818</v>
      </c>
      <c r="G878" s="16" t="s">
        <v>4831</v>
      </c>
      <c r="H878" s="16" t="s">
        <v>429</v>
      </c>
      <c r="I878" s="16" t="s">
        <v>32</v>
      </c>
      <c r="J878" s="16" t="s">
        <v>4832</v>
      </c>
      <c r="K878" s="16" t="n">
        <v>52.9545135498047</v>
      </c>
      <c r="L878" s="16" t="n">
        <v>0.835336565971375</v>
      </c>
      <c r="M878" s="16" t="s">
        <v>100</v>
      </c>
      <c r="N878" s="16"/>
      <c r="O878" s="16"/>
      <c r="P878" s="16"/>
      <c r="Q878" s="16" t="s">
        <v>100</v>
      </c>
    </row>
    <row r="879" customFormat="false" ht="15" hidden="false" customHeight="false" outlineLevel="0" collapsed="false">
      <c r="A879" s="16" t="n">
        <v>73658</v>
      </c>
      <c r="B879" s="16" t="s">
        <v>4833</v>
      </c>
      <c r="C879" s="16" t="s">
        <v>4834</v>
      </c>
      <c r="D879" s="16" t="s">
        <v>22</v>
      </c>
      <c r="E879" s="16" t="s">
        <v>4235</v>
      </c>
      <c r="F879" s="16" t="s">
        <v>1732</v>
      </c>
      <c r="G879" s="16" t="s">
        <v>3451</v>
      </c>
      <c r="H879" s="16" t="s">
        <v>214</v>
      </c>
      <c r="I879" s="16" t="s">
        <v>29</v>
      </c>
      <c r="J879" s="16" t="s">
        <v>4835</v>
      </c>
      <c r="K879" s="16" t="n">
        <v>51.1166038513184</v>
      </c>
      <c r="L879" s="16" t="n">
        <v>-0.197388514876366</v>
      </c>
      <c r="M879" s="16" t="s">
        <v>98</v>
      </c>
      <c r="N879" s="16"/>
      <c r="O879" s="16"/>
      <c r="P879" s="16"/>
      <c r="Q879" s="16" t="s">
        <v>100</v>
      </c>
    </row>
    <row r="880" customFormat="false" ht="15" hidden="false" customHeight="false" outlineLevel="0" collapsed="false">
      <c r="A880" s="16" t="n">
        <v>73660</v>
      </c>
      <c r="B880" s="16" t="s">
        <v>4836</v>
      </c>
      <c r="C880" s="16" t="s">
        <v>4837</v>
      </c>
      <c r="D880" s="16" t="s">
        <v>22</v>
      </c>
      <c r="E880" s="16" t="s">
        <v>94</v>
      </c>
      <c r="F880" s="16" t="s">
        <v>71</v>
      </c>
      <c r="G880" s="16" t="s">
        <v>4838</v>
      </c>
      <c r="H880" s="16" t="s">
        <v>51</v>
      </c>
      <c r="I880" s="16" t="s">
        <v>29</v>
      </c>
      <c r="J880" s="16" t="s">
        <v>4839</v>
      </c>
      <c r="K880" s="16" t="n">
        <v>50.8791809082031</v>
      </c>
      <c r="L880" s="16" t="n">
        <v>-1.58380806446075</v>
      </c>
      <c r="M880" s="16" t="s">
        <v>100</v>
      </c>
      <c r="N880" s="16"/>
      <c r="O880" s="16"/>
      <c r="P880" s="16"/>
      <c r="Q880" s="16" t="s">
        <v>100</v>
      </c>
    </row>
    <row r="881" customFormat="false" ht="15" hidden="false" customHeight="false" outlineLevel="0" collapsed="false">
      <c r="A881" s="16" t="n">
        <v>73661</v>
      </c>
      <c r="B881" s="16" t="s">
        <v>4840</v>
      </c>
      <c r="C881" s="16" t="s">
        <v>4841</v>
      </c>
      <c r="D881" s="16" t="s">
        <v>22</v>
      </c>
      <c r="E881" s="16" t="s">
        <v>94</v>
      </c>
      <c r="F881" s="16" t="s">
        <v>71</v>
      </c>
      <c r="G881" s="16" t="s">
        <v>353</v>
      </c>
      <c r="H881" s="16" t="s">
        <v>51</v>
      </c>
      <c r="I881" s="16" t="s">
        <v>29</v>
      </c>
      <c r="J881" s="16" t="s">
        <v>4842</v>
      </c>
      <c r="K881" s="16" t="n">
        <v>50.858585357666</v>
      </c>
      <c r="L881" s="16" t="n">
        <v>-1.4028993844986</v>
      </c>
      <c r="M881" s="16" t="s">
        <v>98</v>
      </c>
      <c r="N881" s="16" t="s">
        <v>4843</v>
      </c>
      <c r="O881" s="16"/>
      <c r="P881" s="16" t="s">
        <v>4844</v>
      </c>
      <c r="Q881" s="16" t="s">
        <v>100</v>
      </c>
    </row>
    <row r="882" customFormat="false" ht="15" hidden="false" customHeight="false" outlineLevel="0" collapsed="false">
      <c r="A882" s="16" t="n">
        <v>73748</v>
      </c>
      <c r="B882" s="16" t="s">
        <v>4845</v>
      </c>
      <c r="C882" s="16" t="s">
        <v>4846</v>
      </c>
      <c r="D882" s="16" t="s">
        <v>22</v>
      </c>
      <c r="E882" s="16" t="s">
        <v>4235</v>
      </c>
      <c r="F882" s="16" t="s">
        <v>71</v>
      </c>
      <c r="G882" s="16" t="s">
        <v>353</v>
      </c>
      <c r="H882" s="16" t="s">
        <v>51</v>
      </c>
      <c r="I882" s="16" t="s">
        <v>29</v>
      </c>
      <c r="J882" s="16" t="s">
        <v>4847</v>
      </c>
      <c r="K882" s="16" t="n">
        <v>50.8921432495117</v>
      </c>
      <c r="L882" s="16" t="n">
        <v>-1.52228534221649</v>
      </c>
      <c r="M882" s="16" t="s">
        <v>100</v>
      </c>
      <c r="N882" s="16"/>
      <c r="O882" s="16"/>
      <c r="P882" s="16"/>
      <c r="Q882" s="16" t="s">
        <v>100</v>
      </c>
    </row>
    <row r="883" customFormat="false" ht="15" hidden="false" customHeight="false" outlineLevel="0" collapsed="false">
      <c r="A883" s="16" t="n">
        <v>73752</v>
      </c>
      <c r="B883" s="16" t="s">
        <v>4848</v>
      </c>
      <c r="C883" s="16" t="s">
        <v>4849</v>
      </c>
      <c r="D883" s="16" t="s">
        <v>22</v>
      </c>
      <c r="E883" s="16" t="s">
        <v>94</v>
      </c>
      <c r="F883" s="16" t="s">
        <v>71</v>
      </c>
      <c r="G883" s="16" t="s">
        <v>4850</v>
      </c>
      <c r="H883" s="16" t="s">
        <v>51</v>
      </c>
      <c r="I883" s="16" t="s">
        <v>29</v>
      </c>
      <c r="J883" s="16" t="s">
        <v>4851</v>
      </c>
      <c r="K883" s="16" t="n">
        <v>50.7691040039063</v>
      </c>
      <c r="L883" s="16" t="n">
        <v>-1.54546213150024</v>
      </c>
      <c r="M883" s="16" t="s">
        <v>98</v>
      </c>
      <c r="N883" s="16" t="s">
        <v>4852</v>
      </c>
      <c r="O883" s="16"/>
      <c r="P883" s="16" t="s">
        <v>4853</v>
      </c>
      <c r="Q883" s="16" t="s">
        <v>100</v>
      </c>
    </row>
    <row r="884" customFormat="false" ht="15" hidden="false" customHeight="false" outlineLevel="0" collapsed="false">
      <c r="A884" s="16" t="n">
        <v>73788</v>
      </c>
      <c r="B884" s="16" t="s">
        <v>4854</v>
      </c>
      <c r="C884" s="16" t="s">
        <v>4855</v>
      </c>
      <c r="D884" s="16" t="s">
        <v>22</v>
      </c>
      <c r="E884" s="16" t="s">
        <v>4235</v>
      </c>
      <c r="F884" s="16" t="s">
        <v>4292</v>
      </c>
      <c r="G884" s="16" t="s">
        <v>4850</v>
      </c>
      <c r="H884" s="16" t="s">
        <v>51</v>
      </c>
      <c r="I884" s="16" t="s">
        <v>29</v>
      </c>
      <c r="J884" s="16" t="s">
        <v>4856</v>
      </c>
      <c r="K884" s="16" t="n">
        <v>50.7224311828613</v>
      </c>
      <c r="L884" s="16" t="n">
        <v>-1.5895037651062</v>
      </c>
      <c r="M884" s="16" t="s">
        <v>100</v>
      </c>
      <c r="N884" s="16"/>
      <c r="O884" s="16"/>
      <c r="P884" s="16"/>
      <c r="Q884" s="16" t="s">
        <v>100</v>
      </c>
    </row>
    <row r="885" customFormat="false" ht="15" hidden="false" customHeight="false" outlineLevel="0" collapsed="false">
      <c r="A885" s="16" t="n">
        <v>74411</v>
      </c>
      <c r="B885" s="16" t="s">
        <v>4857</v>
      </c>
      <c r="C885" s="16" t="s">
        <v>4858</v>
      </c>
      <c r="D885" s="16" t="s">
        <v>22</v>
      </c>
      <c r="E885" s="16" t="s">
        <v>4235</v>
      </c>
      <c r="F885" s="16" t="s">
        <v>4098</v>
      </c>
      <c r="G885" s="16" t="s">
        <v>4859</v>
      </c>
      <c r="H885" s="16" t="s">
        <v>49</v>
      </c>
      <c r="I885" s="16" t="s">
        <v>32</v>
      </c>
      <c r="J885" s="16" t="s">
        <v>4860</v>
      </c>
      <c r="K885" s="16" t="n">
        <v>51.5385627746582</v>
      </c>
      <c r="L885" s="16" t="n">
        <v>0.0987414494156837</v>
      </c>
      <c r="M885" s="16" t="s">
        <v>98</v>
      </c>
      <c r="N885" s="16" t="s">
        <v>4861</v>
      </c>
      <c r="O885" s="16"/>
      <c r="P885" s="16"/>
      <c r="Q885" s="16" t="s">
        <v>100</v>
      </c>
    </row>
    <row r="886" customFormat="false" ht="15" hidden="false" customHeight="false" outlineLevel="0" collapsed="false">
      <c r="A886" s="16" t="n">
        <v>74515</v>
      </c>
      <c r="B886" s="16" t="s">
        <v>4862</v>
      </c>
      <c r="C886" s="16" t="s">
        <v>4863</v>
      </c>
      <c r="D886" s="16" t="s">
        <v>22</v>
      </c>
      <c r="E886" s="16" t="s">
        <v>94</v>
      </c>
      <c r="F886" s="16" t="s">
        <v>4614</v>
      </c>
      <c r="G886" s="16" t="s">
        <v>761</v>
      </c>
      <c r="H886" s="16" t="s">
        <v>762</v>
      </c>
      <c r="I886" s="16" t="s">
        <v>35</v>
      </c>
      <c r="J886" s="16" t="s">
        <v>4864</v>
      </c>
      <c r="K886" s="16" t="n">
        <v>53.4363784790039</v>
      </c>
      <c r="L886" s="16" t="n">
        <v>-1.49550187587738</v>
      </c>
      <c r="M886" s="16" t="s">
        <v>100</v>
      </c>
      <c r="N886" s="16"/>
      <c r="O886" s="16"/>
      <c r="P886" s="16"/>
      <c r="Q886" s="16" t="s">
        <v>100</v>
      </c>
    </row>
    <row r="887" customFormat="false" ht="15" hidden="false" customHeight="false" outlineLevel="0" collapsed="false">
      <c r="A887" s="16" t="n">
        <v>74534</v>
      </c>
      <c r="B887" s="16" t="s">
        <v>4865</v>
      </c>
      <c r="C887" s="16" t="s">
        <v>4866</v>
      </c>
      <c r="D887" s="16" t="s">
        <v>23</v>
      </c>
      <c r="E887" s="16" t="s">
        <v>94</v>
      </c>
      <c r="F887" s="16" t="s">
        <v>4614</v>
      </c>
      <c r="G887" s="16" t="s">
        <v>761</v>
      </c>
      <c r="H887" s="16" t="s">
        <v>762</v>
      </c>
      <c r="I887" s="16" t="s">
        <v>35</v>
      </c>
      <c r="J887" s="16" t="s">
        <v>4867</v>
      </c>
      <c r="K887" s="16" t="n">
        <v>53.4102287292481</v>
      </c>
      <c r="L887" s="16" t="n">
        <v>-1.46014297008514</v>
      </c>
      <c r="M887" s="16" t="s">
        <v>98</v>
      </c>
      <c r="N887" s="16" t="s">
        <v>4868</v>
      </c>
      <c r="O887" s="16"/>
      <c r="P887" s="16" t="s">
        <v>4617</v>
      </c>
      <c r="Q887" s="16" t="s">
        <v>100</v>
      </c>
    </row>
    <row r="888" customFormat="false" ht="15" hidden="false" customHeight="false" outlineLevel="0" collapsed="false">
      <c r="A888" s="16" t="n">
        <v>74650</v>
      </c>
      <c r="B888" s="16" t="s">
        <v>4869</v>
      </c>
      <c r="C888" s="16" t="s">
        <v>4870</v>
      </c>
      <c r="D888" s="16" t="s">
        <v>22</v>
      </c>
      <c r="E888" s="16" t="s">
        <v>94</v>
      </c>
      <c r="F888" s="16" t="s">
        <v>2152</v>
      </c>
      <c r="G888" s="16" t="s">
        <v>4871</v>
      </c>
      <c r="H888" s="16" t="s">
        <v>51</v>
      </c>
      <c r="I888" s="16" t="s">
        <v>29</v>
      </c>
      <c r="J888" s="16" t="s">
        <v>4872</v>
      </c>
      <c r="K888" s="16" t="n">
        <v>50.8484039306641</v>
      </c>
      <c r="L888" s="16" t="n">
        <v>-0.937394618988037</v>
      </c>
      <c r="M888" s="16" t="s">
        <v>100</v>
      </c>
      <c r="N888" s="16"/>
      <c r="O888" s="16"/>
      <c r="P888" s="16"/>
      <c r="Q888" s="16" t="s">
        <v>100</v>
      </c>
    </row>
    <row r="889" customFormat="false" ht="15" hidden="false" customHeight="false" outlineLevel="0" collapsed="false">
      <c r="A889" s="16" t="n">
        <v>74672</v>
      </c>
      <c r="B889" s="16" t="s">
        <v>4873</v>
      </c>
      <c r="C889" s="16" t="s">
        <v>4874</v>
      </c>
      <c r="D889" s="16" t="s">
        <v>22</v>
      </c>
      <c r="E889" s="16" t="s">
        <v>4235</v>
      </c>
      <c r="F889" s="16" t="s">
        <v>2696</v>
      </c>
      <c r="G889" s="16" t="s">
        <v>4875</v>
      </c>
      <c r="H889" s="16" t="s">
        <v>45</v>
      </c>
      <c r="I889" s="16" t="s">
        <v>29</v>
      </c>
      <c r="J889" s="16" t="s">
        <v>4876</v>
      </c>
      <c r="K889" s="16" t="n">
        <v>51.4571228027344</v>
      </c>
      <c r="L889" s="16" t="n">
        <v>0.131695762276649</v>
      </c>
      <c r="M889" s="16" t="s">
        <v>100</v>
      </c>
      <c r="N889" s="16"/>
      <c r="O889" s="16"/>
      <c r="P889" s="16"/>
      <c r="Q889" s="16" t="s">
        <v>100</v>
      </c>
    </row>
    <row r="890" customFormat="false" ht="15" hidden="false" customHeight="false" outlineLevel="0" collapsed="false">
      <c r="A890" s="16" t="n">
        <v>74780</v>
      </c>
      <c r="B890" s="16" t="s">
        <v>4877</v>
      </c>
      <c r="C890" s="16" t="s">
        <v>4878</v>
      </c>
      <c r="D890" s="16" t="s">
        <v>22</v>
      </c>
      <c r="E890" s="16" t="s">
        <v>94</v>
      </c>
      <c r="F890" s="16" t="s">
        <v>4879</v>
      </c>
      <c r="G890" s="16" t="s">
        <v>4880</v>
      </c>
      <c r="H890" s="16" t="s">
        <v>57</v>
      </c>
      <c r="I890" s="16" t="s">
        <v>32</v>
      </c>
      <c r="J890" s="16" t="s">
        <v>4881</v>
      </c>
      <c r="K890" s="16" t="n">
        <v>51.8654823303223</v>
      </c>
      <c r="L890" s="16" t="n">
        <v>0.174335479736328</v>
      </c>
      <c r="M890" s="16" t="s">
        <v>98</v>
      </c>
      <c r="N890" s="16" t="s">
        <v>4882</v>
      </c>
      <c r="O890" s="16"/>
      <c r="P890" s="16" t="s">
        <v>4883</v>
      </c>
      <c r="Q890" s="16" t="s">
        <v>100</v>
      </c>
    </row>
    <row r="891" customFormat="false" ht="15" hidden="false" customHeight="false" outlineLevel="0" collapsed="false">
      <c r="A891" s="16" t="n">
        <v>74783</v>
      </c>
      <c r="B891" s="16" t="s">
        <v>4884</v>
      </c>
      <c r="C891" s="16" t="s">
        <v>4001</v>
      </c>
      <c r="D891" s="16" t="s">
        <v>22</v>
      </c>
      <c r="E891" s="16" t="s">
        <v>94</v>
      </c>
      <c r="F891" s="16" t="s">
        <v>4879</v>
      </c>
      <c r="G891" s="16" t="s">
        <v>4885</v>
      </c>
      <c r="H891" s="16" t="s">
        <v>57</v>
      </c>
      <c r="I891" s="16" t="s">
        <v>32</v>
      </c>
      <c r="J891" s="16" t="s">
        <v>4886</v>
      </c>
      <c r="K891" s="16" t="n">
        <v>51.8279571533203</v>
      </c>
      <c r="L891" s="16" t="n">
        <v>-0.222852945327759</v>
      </c>
      <c r="M891" s="16" t="s">
        <v>98</v>
      </c>
      <c r="N891" s="16" t="s">
        <v>4887</v>
      </c>
      <c r="O891" s="16"/>
      <c r="P891" s="16"/>
      <c r="Q891" s="16" t="s">
        <v>100</v>
      </c>
    </row>
    <row r="892" customFormat="false" ht="15" hidden="false" customHeight="false" outlineLevel="0" collapsed="false">
      <c r="A892" s="16" t="n">
        <v>74976</v>
      </c>
      <c r="B892" s="16" t="s">
        <v>4888</v>
      </c>
      <c r="C892" s="16" t="s">
        <v>4889</v>
      </c>
      <c r="D892" s="16" t="s">
        <v>23</v>
      </c>
      <c r="E892" s="16" t="s">
        <v>4235</v>
      </c>
      <c r="F892" s="16" t="s">
        <v>4890</v>
      </c>
      <c r="G892" s="16" t="s">
        <v>4850</v>
      </c>
      <c r="H892" s="16" t="s">
        <v>51</v>
      </c>
      <c r="I892" s="16" t="s">
        <v>29</v>
      </c>
      <c r="J892" s="16" t="s">
        <v>4891</v>
      </c>
      <c r="K892" s="16" t="n">
        <v>50.7245826721191</v>
      </c>
      <c r="L892" s="16" t="n">
        <v>-1.60040783882141</v>
      </c>
      <c r="M892" s="16" t="s">
        <v>100</v>
      </c>
      <c r="N892" s="16"/>
      <c r="O892" s="16"/>
      <c r="P892" s="16"/>
      <c r="Q892" s="16" t="s">
        <v>100</v>
      </c>
    </row>
    <row r="893" customFormat="false" ht="15" hidden="false" customHeight="false" outlineLevel="0" collapsed="false">
      <c r="A893" s="16" t="n">
        <v>75009</v>
      </c>
      <c r="B893" s="16" t="s">
        <v>4892</v>
      </c>
      <c r="C893" s="16" t="s">
        <v>4893</v>
      </c>
      <c r="D893" s="16" t="s">
        <v>22</v>
      </c>
      <c r="E893" s="16" t="s">
        <v>94</v>
      </c>
      <c r="F893" s="16" t="s">
        <v>71</v>
      </c>
      <c r="G893" s="16" t="s">
        <v>4894</v>
      </c>
      <c r="H893" s="16" t="s">
        <v>51</v>
      </c>
      <c r="I893" s="16" t="s">
        <v>29</v>
      </c>
      <c r="J893" s="16" t="s">
        <v>4895</v>
      </c>
      <c r="K893" s="16" t="n">
        <v>51.0038871765137</v>
      </c>
      <c r="L893" s="16" t="n">
        <v>-0.942384362220764</v>
      </c>
      <c r="M893" s="16" t="s">
        <v>98</v>
      </c>
      <c r="N893" s="16" t="s">
        <v>4896</v>
      </c>
      <c r="O893" s="16"/>
      <c r="P893" s="16" t="s">
        <v>4897</v>
      </c>
      <c r="Q893" s="16" t="s">
        <v>100</v>
      </c>
    </row>
    <row r="894" customFormat="false" ht="15" hidden="false" customHeight="false" outlineLevel="0" collapsed="false">
      <c r="A894" s="16" t="n">
        <v>75023</v>
      </c>
      <c r="B894" s="16" t="s">
        <v>4898</v>
      </c>
      <c r="C894" s="16" t="s">
        <v>4899</v>
      </c>
      <c r="D894" s="16" t="s">
        <v>23</v>
      </c>
      <c r="E894" s="16" t="s">
        <v>94</v>
      </c>
      <c r="F894" s="16" t="s">
        <v>4900</v>
      </c>
      <c r="G894" s="16" t="s">
        <v>4901</v>
      </c>
      <c r="H894" s="16" t="s">
        <v>285</v>
      </c>
      <c r="I894" s="16" t="s">
        <v>34</v>
      </c>
      <c r="J894" s="16" t="s">
        <v>4902</v>
      </c>
      <c r="K894" s="16" t="n">
        <v>53.1248474121094</v>
      </c>
      <c r="L894" s="16" t="n">
        <v>-2.08495855331421</v>
      </c>
      <c r="M894" s="16" t="s">
        <v>100</v>
      </c>
      <c r="N894" s="16"/>
      <c r="O894" s="16"/>
      <c r="P894" s="16"/>
      <c r="Q894" s="16" t="s">
        <v>100</v>
      </c>
    </row>
    <row r="895" customFormat="false" ht="15" hidden="false" customHeight="false" outlineLevel="0" collapsed="false">
      <c r="A895" s="16" t="n">
        <v>75095</v>
      </c>
      <c r="B895" s="16" t="s">
        <v>4903</v>
      </c>
      <c r="C895" s="16" t="s">
        <v>4904</v>
      </c>
      <c r="D895" s="16" t="s">
        <v>22</v>
      </c>
      <c r="E895" s="16" t="s">
        <v>94</v>
      </c>
      <c r="F895" s="16" t="s">
        <v>71</v>
      </c>
      <c r="G895" s="16" t="s">
        <v>4905</v>
      </c>
      <c r="H895" s="16" t="s">
        <v>51</v>
      </c>
      <c r="I895" s="16" t="s">
        <v>29</v>
      </c>
      <c r="J895" s="16" t="s">
        <v>4906</v>
      </c>
      <c r="K895" s="16" t="n">
        <v>50.9920654296875</v>
      </c>
      <c r="L895" s="16" t="n">
        <v>-1.48197793960571</v>
      </c>
      <c r="M895" s="16" t="s">
        <v>98</v>
      </c>
      <c r="N895" s="16" t="s">
        <v>4907</v>
      </c>
      <c r="O895" s="16"/>
      <c r="P895" s="16" t="s">
        <v>4908</v>
      </c>
      <c r="Q895" s="16" t="s">
        <v>100</v>
      </c>
    </row>
    <row r="896" customFormat="false" ht="15" hidden="false" customHeight="false" outlineLevel="0" collapsed="false">
      <c r="A896" s="16" t="n">
        <v>75250</v>
      </c>
      <c r="B896" s="16" t="s">
        <v>4909</v>
      </c>
      <c r="C896" s="16" t="s">
        <v>4910</v>
      </c>
      <c r="D896" s="16" t="s">
        <v>22</v>
      </c>
      <c r="E896" s="16" t="s">
        <v>94</v>
      </c>
      <c r="F896" s="16" t="s">
        <v>73</v>
      </c>
      <c r="G896" s="16" t="s">
        <v>4911</v>
      </c>
      <c r="H896" s="16" t="s">
        <v>2433</v>
      </c>
      <c r="I896" s="16" t="s">
        <v>38</v>
      </c>
      <c r="J896" s="16" t="s">
        <v>4912</v>
      </c>
      <c r="K896" s="16" t="n">
        <v>54.545711517334</v>
      </c>
      <c r="L896" s="16" t="n">
        <v>-1.91613829135895</v>
      </c>
      <c r="M896" s="16" t="s">
        <v>98</v>
      </c>
      <c r="N896" s="16" t="s">
        <v>4913</v>
      </c>
      <c r="O896" s="16"/>
      <c r="P896" s="16"/>
      <c r="Q896" s="16" t="s">
        <v>100</v>
      </c>
    </row>
    <row r="897" customFormat="false" ht="15" hidden="false" customHeight="false" outlineLevel="0" collapsed="false">
      <c r="A897" s="16" t="n">
        <v>75270</v>
      </c>
      <c r="B897" s="16" t="s">
        <v>4914</v>
      </c>
      <c r="C897" s="16" t="s">
        <v>4915</v>
      </c>
      <c r="D897" s="16" t="s">
        <v>22</v>
      </c>
      <c r="E897" s="16" t="s">
        <v>94</v>
      </c>
      <c r="F897" s="16" t="s">
        <v>1420</v>
      </c>
      <c r="G897" s="16" t="s">
        <v>877</v>
      </c>
      <c r="H897" s="16" t="s">
        <v>49</v>
      </c>
      <c r="I897" s="16" t="s">
        <v>32</v>
      </c>
      <c r="J897" s="16" t="s">
        <v>4916</v>
      </c>
      <c r="K897" s="16" t="n">
        <v>51.7746543884277</v>
      </c>
      <c r="L897" s="16" t="n">
        <v>0.466007918119431</v>
      </c>
      <c r="M897" s="16" t="s">
        <v>100</v>
      </c>
      <c r="N897" s="16"/>
      <c r="O897" s="16"/>
      <c r="P897" s="16"/>
      <c r="Q897" s="16" t="s">
        <v>100</v>
      </c>
    </row>
    <row r="898" customFormat="false" ht="15" hidden="false" customHeight="false" outlineLevel="0" collapsed="false">
      <c r="A898" s="16" t="n">
        <v>75279</v>
      </c>
      <c r="B898" s="16" t="s">
        <v>4917</v>
      </c>
      <c r="C898" s="16" t="s">
        <v>4918</v>
      </c>
      <c r="D898" s="16" t="s">
        <v>22</v>
      </c>
      <c r="E898" s="16" t="s">
        <v>4235</v>
      </c>
      <c r="F898" s="16" t="s">
        <v>2519</v>
      </c>
      <c r="G898" s="16" t="s">
        <v>4919</v>
      </c>
      <c r="H898" s="16" t="s">
        <v>714</v>
      </c>
      <c r="I898" s="16" t="s">
        <v>30</v>
      </c>
      <c r="J898" s="16" t="s">
        <v>4920</v>
      </c>
      <c r="K898" s="16" t="n">
        <v>51.5776901245117</v>
      </c>
      <c r="L898" s="16" t="n">
        <v>-2.0946319103241</v>
      </c>
      <c r="M898" s="16" t="s">
        <v>100</v>
      </c>
      <c r="N898" s="16"/>
      <c r="O898" s="16"/>
      <c r="P898" s="16"/>
      <c r="Q898" s="16" t="s">
        <v>100</v>
      </c>
    </row>
    <row r="899" customFormat="false" ht="15" hidden="false" customHeight="false" outlineLevel="0" collapsed="false">
      <c r="A899" s="16" t="n">
        <v>75333</v>
      </c>
      <c r="B899" s="16" t="s">
        <v>4921</v>
      </c>
      <c r="C899" s="16" t="s">
        <v>4922</v>
      </c>
      <c r="D899" s="16" t="s">
        <v>22</v>
      </c>
      <c r="E899" s="16" t="s">
        <v>94</v>
      </c>
      <c r="F899" s="16" t="s">
        <v>2809</v>
      </c>
      <c r="G899" s="16" t="s">
        <v>4901</v>
      </c>
      <c r="H899" s="16" t="s">
        <v>285</v>
      </c>
      <c r="I899" s="16" t="s">
        <v>34</v>
      </c>
      <c r="J899" s="16" t="s">
        <v>4923</v>
      </c>
      <c r="K899" s="16" t="n">
        <v>53.1027908325195</v>
      </c>
      <c r="L899" s="16" t="n">
        <v>-2.00969791412354</v>
      </c>
      <c r="M899" s="16" t="s">
        <v>98</v>
      </c>
      <c r="N899" s="16" t="s">
        <v>4924</v>
      </c>
      <c r="O899" s="16"/>
      <c r="P899" s="16" t="s">
        <v>4925</v>
      </c>
      <c r="Q899" s="16" t="s">
        <v>100</v>
      </c>
    </row>
    <row r="900" customFormat="false" ht="15" hidden="false" customHeight="false" outlineLevel="0" collapsed="false">
      <c r="A900" s="16" t="n">
        <v>75334</v>
      </c>
      <c r="B900" s="16" t="s">
        <v>4926</v>
      </c>
      <c r="C900" s="16" t="s">
        <v>4927</v>
      </c>
      <c r="D900" s="16" t="s">
        <v>22</v>
      </c>
      <c r="E900" s="16" t="s">
        <v>94</v>
      </c>
      <c r="F900" s="16" t="s">
        <v>2809</v>
      </c>
      <c r="G900" s="16" t="s">
        <v>4237</v>
      </c>
      <c r="H900" s="16" t="s">
        <v>285</v>
      </c>
      <c r="I900" s="16" t="s">
        <v>34</v>
      </c>
      <c r="J900" s="16" t="s">
        <v>4928</v>
      </c>
      <c r="K900" s="16" t="n">
        <v>52.9842071533203</v>
      </c>
      <c r="L900" s="16" t="n">
        <v>-1.99018788337708</v>
      </c>
      <c r="M900" s="16" t="s">
        <v>98</v>
      </c>
      <c r="N900" s="16" t="s">
        <v>4929</v>
      </c>
      <c r="O900" s="16"/>
      <c r="P900" s="16" t="s">
        <v>4314</v>
      </c>
      <c r="Q900" s="16" t="s">
        <v>100</v>
      </c>
    </row>
    <row r="901" customFormat="false" ht="15" hidden="false" customHeight="false" outlineLevel="0" collapsed="false">
      <c r="A901" s="16" t="n">
        <v>75335</v>
      </c>
      <c r="B901" s="16" t="s">
        <v>4930</v>
      </c>
      <c r="C901" s="16" t="s">
        <v>4931</v>
      </c>
      <c r="D901" s="16" t="s">
        <v>22</v>
      </c>
      <c r="E901" s="16" t="s">
        <v>94</v>
      </c>
      <c r="F901" s="16" t="s">
        <v>2809</v>
      </c>
      <c r="G901" s="16" t="s">
        <v>4932</v>
      </c>
      <c r="H901" s="16" t="s">
        <v>285</v>
      </c>
      <c r="I901" s="16" t="s">
        <v>34</v>
      </c>
      <c r="J901" s="16" t="s">
        <v>4933</v>
      </c>
      <c r="K901" s="16" t="n">
        <v>53.039478302002</v>
      </c>
      <c r="L901" s="16" t="n">
        <v>-2.23867297172546</v>
      </c>
      <c r="M901" s="16" t="s">
        <v>98</v>
      </c>
      <c r="N901" s="16" t="s">
        <v>4934</v>
      </c>
      <c r="O901" s="16"/>
      <c r="P901" s="16" t="s">
        <v>2813</v>
      </c>
      <c r="Q901" s="16" t="s">
        <v>100</v>
      </c>
    </row>
    <row r="902" customFormat="false" ht="15" hidden="false" customHeight="false" outlineLevel="0" collapsed="false">
      <c r="A902" s="16" t="n">
        <v>75398</v>
      </c>
      <c r="B902" s="16" t="s">
        <v>4935</v>
      </c>
      <c r="C902" s="16" t="s">
        <v>4936</v>
      </c>
      <c r="D902" s="16" t="s">
        <v>23</v>
      </c>
      <c r="E902" s="16" t="s">
        <v>4235</v>
      </c>
      <c r="F902" s="16" t="s">
        <v>4937</v>
      </c>
      <c r="G902" s="16" t="s">
        <v>4938</v>
      </c>
      <c r="H902" s="16" t="s">
        <v>49</v>
      </c>
      <c r="I902" s="16" t="s">
        <v>32</v>
      </c>
      <c r="J902" s="16" t="s">
        <v>4939</v>
      </c>
      <c r="K902" s="16" t="n">
        <v>51.5480041503906</v>
      </c>
      <c r="L902" s="16" t="n">
        <v>0.637353718280792</v>
      </c>
      <c r="M902" s="16" t="s">
        <v>98</v>
      </c>
      <c r="N902" s="16" t="s">
        <v>4940</v>
      </c>
      <c r="O902" s="16" t="s">
        <v>4941</v>
      </c>
      <c r="P902" s="16" t="s">
        <v>4942</v>
      </c>
      <c r="Q902" s="16" t="s">
        <v>100</v>
      </c>
    </row>
    <row r="903" customFormat="false" ht="15" hidden="false" customHeight="false" outlineLevel="0" collapsed="false">
      <c r="A903" s="16" t="n">
        <v>75781</v>
      </c>
      <c r="B903" s="16" t="s">
        <v>4943</v>
      </c>
      <c r="C903" s="16" t="s">
        <v>4944</v>
      </c>
      <c r="D903" s="16" t="s">
        <v>23</v>
      </c>
      <c r="E903" s="16" t="s">
        <v>4235</v>
      </c>
      <c r="F903" s="16" t="s">
        <v>4945</v>
      </c>
      <c r="G903" s="16" t="s">
        <v>2508</v>
      </c>
      <c r="H903" s="16" t="s">
        <v>429</v>
      </c>
      <c r="I903" s="16" t="s">
        <v>32</v>
      </c>
      <c r="J903" s="16" t="s">
        <v>4946</v>
      </c>
      <c r="K903" s="16" t="n">
        <v>52.5254592895508</v>
      </c>
      <c r="L903" s="16" t="n">
        <v>0.993445992469788</v>
      </c>
      <c r="M903" s="16" t="s">
        <v>100</v>
      </c>
      <c r="N903" s="16"/>
      <c r="O903" s="16"/>
      <c r="P903" s="16"/>
      <c r="Q903" s="16" t="s">
        <v>100</v>
      </c>
    </row>
    <row r="904" customFormat="false" ht="15" hidden="false" customHeight="false" outlineLevel="0" collapsed="false">
      <c r="A904" s="16" t="n">
        <v>75792</v>
      </c>
      <c r="B904" s="16" t="s">
        <v>4947</v>
      </c>
      <c r="C904" s="16" t="s">
        <v>4948</v>
      </c>
      <c r="D904" s="16" t="s">
        <v>23</v>
      </c>
      <c r="E904" s="16" t="s">
        <v>4235</v>
      </c>
      <c r="F904" s="16" t="s">
        <v>4949</v>
      </c>
      <c r="G904" s="16" t="s">
        <v>761</v>
      </c>
      <c r="H904" s="16" t="s">
        <v>762</v>
      </c>
      <c r="I904" s="16" t="s">
        <v>35</v>
      </c>
      <c r="J904" s="16" t="s">
        <v>4950</v>
      </c>
      <c r="K904" s="16" t="n">
        <v>53.3699150085449</v>
      </c>
      <c r="L904" s="16" t="n">
        <v>-1.51853048801422</v>
      </c>
      <c r="M904" s="16" t="s">
        <v>100</v>
      </c>
      <c r="N904" s="16"/>
      <c r="O904" s="16"/>
      <c r="P904" s="16"/>
      <c r="Q904" s="16" t="s">
        <v>100</v>
      </c>
    </row>
    <row r="905" customFormat="false" ht="15" hidden="false" customHeight="false" outlineLevel="0" collapsed="false">
      <c r="A905" s="16" t="n">
        <v>75803</v>
      </c>
      <c r="B905" s="16" t="s">
        <v>4951</v>
      </c>
      <c r="C905" s="16" t="s">
        <v>4952</v>
      </c>
      <c r="D905" s="16" t="s">
        <v>22</v>
      </c>
      <c r="E905" s="16" t="s">
        <v>4235</v>
      </c>
      <c r="F905" s="16" t="s">
        <v>2219</v>
      </c>
      <c r="G905" s="16" t="s">
        <v>4953</v>
      </c>
      <c r="H905" s="16" t="s">
        <v>1034</v>
      </c>
      <c r="I905" s="16" t="s">
        <v>30</v>
      </c>
      <c r="J905" s="16" t="s">
        <v>4954</v>
      </c>
      <c r="K905" s="16" t="n">
        <v>50.2077217102051</v>
      </c>
      <c r="L905" s="16" t="n">
        <v>-5.47910690307617</v>
      </c>
      <c r="M905" s="16" t="s">
        <v>98</v>
      </c>
      <c r="N905" s="16" t="s">
        <v>4955</v>
      </c>
      <c r="O905" s="16"/>
      <c r="P905" s="16" t="s">
        <v>4956</v>
      </c>
      <c r="Q905" s="16" t="s">
        <v>100</v>
      </c>
    </row>
    <row r="906" customFormat="false" ht="15" hidden="false" customHeight="false" outlineLevel="0" collapsed="false">
      <c r="A906" s="16" t="n">
        <v>75804</v>
      </c>
      <c r="B906" s="16" t="s">
        <v>4957</v>
      </c>
      <c r="C906" s="16" t="s">
        <v>4958</v>
      </c>
      <c r="D906" s="16" t="s">
        <v>22</v>
      </c>
      <c r="E906" s="16" t="s">
        <v>4235</v>
      </c>
      <c r="F906" s="16" t="s">
        <v>2219</v>
      </c>
      <c r="G906" s="16" t="s">
        <v>4959</v>
      </c>
      <c r="H906" s="16" t="s">
        <v>1034</v>
      </c>
      <c r="I906" s="16" t="s">
        <v>30</v>
      </c>
      <c r="J906" s="16" t="s">
        <v>4960</v>
      </c>
      <c r="K906" s="16" t="n">
        <v>50.0919647216797</v>
      </c>
      <c r="L906" s="16" t="n">
        <v>-5.26486396789551</v>
      </c>
      <c r="M906" s="16" t="s">
        <v>98</v>
      </c>
      <c r="N906" s="16" t="s">
        <v>4961</v>
      </c>
      <c r="O906" s="16"/>
      <c r="P906" s="16" t="s">
        <v>4962</v>
      </c>
      <c r="Q906" s="16" t="s">
        <v>100</v>
      </c>
    </row>
    <row r="907" customFormat="false" ht="15" hidden="false" customHeight="false" outlineLevel="0" collapsed="false">
      <c r="A907" s="16" t="n">
        <v>75806</v>
      </c>
      <c r="B907" s="16" t="s">
        <v>4963</v>
      </c>
      <c r="C907" s="16" t="s">
        <v>4964</v>
      </c>
      <c r="D907" s="16" t="s">
        <v>22</v>
      </c>
      <c r="E907" s="16" t="s">
        <v>4235</v>
      </c>
      <c r="F907" s="16" t="s">
        <v>2219</v>
      </c>
      <c r="G907" s="16" t="s">
        <v>4965</v>
      </c>
      <c r="H907" s="16" t="s">
        <v>2433</v>
      </c>
      <c r="I907" s="16" t="s">
        <v>38</v>
      </c>
      <c r="J907" s="16" t="s">
        <v>4966</v>
      </c>
      <c r="K907" s="16" t="n">
        <v>49.9130630493164</v>
      </c>
      <c r="L907" s="16" t="n">
        <v>-6.30927705764771</v>
      </c>
      <c r="M907" s="16" t="s">
        <v>98</v>
      </c>
      <c r="N907" s="16" t="s">
        <v>4967</v>
      </c>
      <c r="O907" s="16"/>
      <c r="P907" s="16" t="s">
        <v>4968</v>
      </c>
      <c r="Q907" s="16" t="s">
        <v>100</v>
      </c>
    </row>
    <row r="908" customFormat="false" ht="15" hidden="false" customHeight="false" outlineLevel="0" collapsed="false">
      <c r="A908" s="16" t="n">
        <v>75906</v>
      </c>
      <c r="B908" s="16" t="s">
        <v>4969</v>
      </c>
      <c r="C908" s="16" t="s">
        <v>4970</v>
      </c>
      <c r="D908" s="16" t="s">
        <v>22</v>
      </c>
      <c r="E908" s="16" t="s">
        <v>94</v>
      </c>
      <c r="F908" s="16" t="s">
        <v>3521</v>
      </c>
      <c r="G908" s="16" t="s">
        <v>4971</v>
      </c>
      <c r="H908" s="16" t="s">
        <v>187</v>
      </c>
      <c r="I908" s="16" t="s">
        <v>29</v>
      </c>
      <c r="J908" s="16" t="s">
        <v>4972</v>
      </c>
      <c r="K908" s="16" t="n">
        <v>50.8751564025879</v>
      </c>
      <c r="L908" s="16" t="n">
        <v>-0.0055177528411149</v>
      </c>
      <c r="M908" s="16" t="s">
        <v>98</v>
      </c>
      <c r="N908" s="16" t="s">
        <v>4973</v>
      </c>
      <c r="O908" s="16"/>
      <c r="P908" s="16"/>
      <c r="Q908" s="16" t="s">
        <v>100</v>
      </c>
    </row>
    <row r="909" customFormat="false" ht="15" hidden="false" customHeight="false" outlineLevel="0" collapsed="false">
      <c r="A909" s="16" t="n">
        <v>75984</v>
      </c>
      <c r="B909" s="16" t="s">
        <v>4974</v>
      </c>
      <c r="C909" s="16" t="s">
        <v>4975</v>
      </c>
      <c r="D909" s="16" t="s">
        <v>22</v>
      </c>
      <c r="E909" s="16" t="s">
        <v>94</v>
      </c>
      <c r="F909" s="16" t="s">
        <v>3925</v>
      </c>
      <c r="G909" s="16" t="s">
        <v>2449</v>
      </c>
      <c r="H909" s="16" t="s">
        <v>260</v>
      </c>
      <c r="I909" s="16" t="s">
        <v>34</v>
      </c>
      <c r="J909" s="16" t="s">
        <v>4976</v>
      </c>
      <c r="K909" s="16" t="n">
        <v>52.5269889831543</v>
      </c>
      <c r="L909" s="16" t="n">
        <v>-1.47769391536713</v>
      </c>
      <c r="M909" s="16" t="s">
        <v>98</v>
      </c>
      <c r="N909" s="16" t="s">
        <v>4977</v>
      </c>
      <c r="O909" s="16"/>
      <c r="P909" s="16" t="s">
        <v>4978</v>
      </c>
      <c r="Q909" s="16" t="s">
        <v>100</v>
      </c>
    </row>
    <row r="910" customFormat="false" ht="15" hidden="false" customHeight="false" outlineLevel="0" collapsed="false">
      <c r="A910" s="16" t="n">
        <v>76230</v>
      </c>
      <c r="B910" s="16" t="s">
        <v>4979</v>
      </c>
      <c r="C910" s="16" t="s">
        <v>4980</v>
      </c>
      <c r="D910" s="16" t="s">
        <v>22</v>
      </c>
      <c r="E910" s="16" t="s">
        <v>94</v>
      </c>
      <c r="F910" s="16" t="s">
        <v>2375</v>
      </c>
      <c r="G910" s="16" t="s">
        <v>33</v>
      </c>
      <c r="H910" s="16" t="s">
        <v>44</v>
      </c>
      <c r="I910" s="16" t="s">
        <v>33</v>
      </c>
      <c r="J910" s="16" t="s">
        <v>4981</v>
      </c>
      <c r="K910" s="16" t="n">
        <v>51.5806274414063</v>
      </c>
      <c r="L910" s="16" t="n">
        <v>-0.0920822471380233</v>
      </c>
      <c r="M910" s="16" t="s">
        <v>100</v>
      </c>
      <c r="N910" s="16"/>
      <c r="O910" s="16"/>
      <c r="P910" s="16"/>
      <c r="Q910" s="16" t="s">
        <v>100</v>
      </c>
    </row>
    <row r="911" customFormat="false" ht="15" hidden="false" customHeight="false" outlineLevel="0" collapsed="false">
      <c r="A911" s="16" t="n">
        <v>76380</v>
      </c>
      <c r="B911" s="16" t="s">
        <v>4982</v>
      </c>
      <c r="C911" s="16" t="s">
        <v>4983</v>
      </c>
      <c r="D911" s="16" t="s">
        <v>23</v>
      </c>
      <c r="E911" s="16" t="s">
        <v>94</v>
      </c>
      <c r="F911" s="16" t="s">
        <v>979</v>
      </c>
      <c r="G911" s="16" t="s">
        <v>33</v>
      </c>
      <c r="H911" s="16" t="s">
        <v>44</v>
      </c>
      <c r="I911" s="16" t="s">
        <v>33</v>
      </c>
      <c r="J911" s="16" t="s">
        <v>4984</v>
      </c>
      <c r="K911" s="16" t="n">
        <v>51.5921516418457</v>
      </c>
      <c r="L911" s="16" t="n">
        <v>-0.254289329051971</v>
      </c>
      <c r="M911" s="16" t="s">
        <v>98</v>
      </c>
      <c r="N911" s="16" t="s">
        <v>4985</v>
      </c>
      <c r="O911" s="16" t="s">
        <v>4986</v>
      </c>
      <c r="P911" s="16" t="s">
        <v>983</v>
      </c>
      <c r="Q911" s="16" t="s">
        <v>100</v>
      </c>
    </row>
    <row r="912" customFormat="false" ht="15" hidden="false" customHeight="false" outlineLevel="0" collapsed="false">
      <c r="A912" s="16" t="n">
        <v>76398</v>
      </c>
      <c r="B912" s="16" t="s">
        <v>4987</v>
      </c>
      <c r="C912" s="16" t="s">
        <v>4988</v>
      </c>
      <c r="D912" s="16" t="s">
        <v>22</v>
      </c>
      <c r="E912" s="16" t="s">
        <v>94</v>
      </c>
      <c r="F912" s="16" t="s">
        <v>2384</v>
      </c>
      <c r="G912" s="16" t="s">
        <v>33</v>
      </c>
      <c r="H912" s="16" t="s">
        <v>44</v>
      </c>
      <c r="I912" s="16" t="s">
        <v>33</v>
      </c>
      <c r="J912" s="16" t="s">
        <v>4989</v>
      </c>
      <c r="K912" s="16" t="n">
        <v>51.4864044189453</v>
      </c>
      <c r="L912" s="16" t="n">
        <v>-0.217425316572189</v>
      </c>
      <c r="M912" s="16" t="s">
        <v>98</v>
      </c>
      <c r="N912" s="16" t="s">
        <v>4990</v>
      </c>
      <c r="O912" s="16"/>
      <c r="P912" s="16"/>
      <c r="Q912" s="16" t="s">
        <v>100</v>
      </c>
    </row>
    <row r="913" customFormat="false" ht="15" hidden="false" customHeight="false" outlineLevel="0" collapsed="false">
      <c r="A913" s="16" t="n">
        <v>76480</v>
      </c>
      <c r="B913" s="16" t="s">
        <v>4991</v>
      </c>
      <c r="C913" s="16" t="s">
        <v>4992</v>
      </c>
      <c r="D913" s="16" t="s">
        <v>22</v>
      </c>
      <c r="E913" s="16" t="s">
        <v>94</v>
      </c>
      <c r="F913" s="16" t="s">
        <v>3395</v>
      </c>
      <c r="G913" s="16" t="s">
        <v>700</v>
      </c>
      <c r="H913" s="16" t="s">
        <v>510</v>
      </c>
      <c r="I913" s="16" t="s">
        <v>29</v>
      </c>
      <c r="J913" s="16" t="s">
        <v>2175</v>
      </c>
      <c r="K913" s="16" t="n">
        <v>51.4735450744629</v>
      </c>
      <c r="L913" s="16" t="n">
        <v>-0.614692628383637</v>
      </c>
      <c r="M913" s="16" t="s">
        <v>98</v>
      </c>
      <c r="N913" s="16" t="s">
        <v>4993</v>
      </c>
      <c r="O913" s="16"/>
      <c r="P913" s="16"/>
      <c r="Q913" s="16" t="s">
        <v>100</v>
      </c>
    </row>
    <row r="914" customFormat="false" ht="15" hidden="false" customHeight="false" outlineLevel="0" collapsed="false">
      <c r="A914" s="16" t="n">
        <v>76535</v>
      </c>
      <c r="B914" s="16" t="s">
        <v>4994</v>
      </c>
      <c r="C914" s="16" t="s">
        <v>1943</v>
      </c>
      <c r="D914" s="16" t="s">
        <v>22</v>
      </c>
      <c r="E914" s="16" t="s">
        <v>4235</v>
      </c>
      <c r="F914" s="16" t="s">
        <v>3383</v>
      </c>
      <c r="G914" s="16" t="s">
        <v>462</v>
      </c>
      <c r="H914" s="16" t="s">
        <v>55</v>
      </c>
      <c r="I914" s="16" t="s">
        <v>31</v>
      </c>
      <c r="J914" s="16" t="s">
        <v>4995</v>
      </c>
      <c r="K914" s="16" t="n">
        <v>53.4060859680176</v>
      </c>
      <c r="L914" s="16" t="n">
        <v>-2.5924346446991</v>
      </c>
      <c r="M914" s="16" t="s">
        <v>100</v>
      </c>
      <c r="N914" s="16"/>
      <c r="O914" s="16"/>
      <c r="P914" s="16"/>
      <c r="Q914" s="16" t="s">
        <v>100</v>
      </c>
    </row>
    <row r="915" customFormat="false" ht="15" hidden="false" customHeight="false" outlineLevel="0" collapsed="false">
      <c r="A915" s="16" t="n">
        <v>76998</v>
      </c>
      <c r="B915" s="16" t="s">
        <v>4996</v>
      </c>
      <c r="C915" s="16" t="s">
        <v>4997</v>
      </c>
      <c r="D915" s="16" t="s">
        <v>22</v>
      </c>
      <c r="E915" s="16" t="s">
        <v>94</v>
      </c>
      <c r="F915" s="16" t="s">
        <v>1233</v>
      </c>
      <c r="G915" s="16" t="s">
        <v>4998</v>
      </c>
      <c r="H915" s="16" t="s">
        <v>340</v>
      </c>
      <c r="I915" s="16" t="s">
        <v>34</v>
      </c>
      <c r="J915" s="16" t="s">
        <v>4999</v>
      </c>
      <c r="K915" s="16" t="n">
        <v>52.3152809143066</v>
      </c>
      <c r="L915" s="16" t="n">
        <v>-2.58953523635864</v>
      </c>
      <c r="M915" s="16" t="s">
        <v>98</v>
      </c>
      <c r="N915" s="16" t="s">
        <v>5000</v>
      </c>
      <c r="O915" s="16"/>
      <c r="P915" s="16" t="s">
        <v>5001</v>
      </c>
      <c r="Q915" s="16" t="s">
        <v>100</v>
      </c>
    </row>
    <row r="916" customFormat="false" ht="15" hidden="false" customHeight="false" outlineLevel="0" collapsed="false">
      <c r="A916" s="16" t="n">
        <v>77051</v>
      </c>
      <c r="B916" s="16" t="s">
        <v>5002</v>
      </c>
      <c r="C916" s="16" t="s">
        <v>5003</v>
      </c>
      <c r="D916" s="16" t="s">
        <v>22</v>
      </c>
      <c r="E916" s="16" t="s">
        <v>94</v>
      </c>
      <c r="F916" s="16" t="s">
        <v>2809</v>
      </c>
      <c r="G916" s="16" t="s">
        <v>4237</v>
      </c>
      <c r="H916" s="16" t="s">
        <v>285</v>
      </c>
      <c r="I916" s="16" t="s">
        <v>34</v>
      </c>
      <c r="J916" s="16" t="s">
        <v>5004</v>
      </c>
      <c r="K916" s="16" t="n">
        <v>53.0569458007813</v>
      </c>
      <c r="L916" s="16" t="n">
        <v>-2.19139838218689</v>
      </c>
      <c r="M916" s="16" t="s">
        <v>98</v>
      </c>
      <c r="N916" s="16" t="s">
        <v>5005</v>
      </c>
      <c r="O916" s="16"/>
      <c r="P916" s="16" t="s">
        <v>5006</v>
      </c>
      <c r="Q916" s="16" t="s">
        <v>100</v>
      </c>
    </row>
    <row r="917" customFormat="false" ht="15" hidden="false" customHeight="false" outlineLevel="0" collapsed="false">
      <c r="A917" s="16" t="n">
        <v>77187</v>
      </c>
      <c r="B917" s="16" t="s">
        <v>5007</v>
      </c>
      <c r="C917" s="16" t="s">
        <v>5008</v>
      </c>
      <c r="D917" s="16" t="s">
        <v>22</v>
      </c>
      <c r="E917" s="16" t="s">
        <v>4235</v>
      </c>
      <c r="F917" s="16" t="s">
        <v>1618</v>
      </c>
      <c r="G917" s="16" t="s">
        <v>3482</v>
      </c>
      <c r="H917" s="16" t="s">
        <v>54</v>
      </c>
      <c r="I917" s="16" t="s">
        <v>35</v>
      </c>
      <c r="J917" s="16" t="s">
        <v>5009</v>
      </c>
      <c r="K917" s="16" t="n">
        <v>54.2774505615234</v>
      </c>
      <c r="L917" s="16" t="n">
        <v>-0.443116664886475</v>
      </c>
      <c r="M917" s="16" t="s">
        <v>100</v>
      </c>
      <c r="N917" s="16"/>
      <c r="O917" s="16"/>
      <c r="P917" s="16"/>
      <c r="Q917" s="16" t="s">
        <v>100</v>
      </c>
    </row>
    <row r="918" customFormat="false" ht="15" hidden="false" customHeight="false" outlineLevel="0" collapsed="false">
      <c r="A918" s="16" t="n">
        <v>77807</v>
      </c>
      <c r="B918" s="16" t="s">
        <v>5010</v>
      </c>
      <c r="C918" s="16" t="s">
        <v>5011</v>
      </c>
      <c r="D918" s="16" t="s">
        <v>22</v>
      </c>
      <c r="E918" s="16" t="s">
        <v>94</v>
      </c>
      <c r="F918" s="16" t="s">
        <v>71</v>
      </c>
      <c r="G918" s="16" t="s">
        <v>5012</v>
      </c>
      <c r="H918" s="16" t="s">
        <v>51</v>
      </c>
      <c r="I918" s="16" t="s">
        <v>29</v>
      </c>
      <c r="J918" s="16" t="s">
        <v>5013</v>
      </c>
      <c r="K918" s="16" t="n">
        <v>51.2517814636231</v>
      </c>
      <c r="L918" s="16" t="n">
        <v>-0.939789175987244</v>
      </c>
      <c r="M918" s="16" t="s">
        <v>98</v>
      </c>
      <c r="N918" s="16" t="s">
        <v>5014</v>
      </c>
      <c r="O918" s="16"/>
      <c r="P918" s="16"/>
      <c r="Q918" s="16" t="s">
        <v>100</v>
      </c>
    </row>
    <row r="919" customFormat="false" ht="15" hidden="false" customHeight="false" outlineLevel="0" collapsed="false">
      <c r="A919" s="16" t="n">
        <v>77810</v>
      </c>
      <c r="B919" s="16" t="s">
        <v>5015</v>
      </c>
      <c r="C919" s="16" t="s">
        <v>5016</v>
      </c>
      <c r="D919" s="16" t="s">
        <v>22</v>
      </c>
      <c r="E919" s="16" t="s">
        <v>94</v>
      </c>
      <c r="F919" s="16" t="s">
        <v>71</v>
      </c>
      <c r="G919" s="16" t="s">
        <v>5017</v>
      </c>
      <c r="H919" s="16" t="s">
        <v>51</v>
      </c>
      <c r="I919" s="16" t="s">
        <v>29</v>
      </c>
      <c r="J919" s="16" t="s">
        <v>5018</v>
      </c>
      <c r="K919" s="16" t="n">
        <v>51.2875556945801</v>
      </c>
      <c r="L919" s="16" t="n">
        <v>-0.848665714263916</v>
      </c>
      <c r="M919" s="16" t="s">
        <v>98</v>
      </c>
      <c r="N919" s="16" t="s">
        <v>5019</v>
      </c>
      <c r="O919" s="16"/>
      <c r="P919" s="16"/>
      <c r="Q919" s="16" t="s">
        <v>100</v>
      </c>
    </row>
    <row r="920" customFormat="false" ht="15" hidden="false" customHeight="false" outlineLevel="0" collapsed="false">
      <c r="A920" s="16" t="n">
        <v>78034</v>
      </c>
      <c r="B920" s="16" t="s">
        <v>5020</v>
      </c>
      <c r="C920" s="16" t="s">
        <v>5021</v>
      </c>
      <c r="D920" s="16" t="s">
        <v>22</v>
      </c>
      <c r="E920" s="16" t="s">
        <v>4235</v>
      </c>
      <c r="F920" s="16" t="s">
        <v>72</v>
      </c>
      <c r="G920" s="16" t="s">
        <v>5022</v>
      </c>
      <c r="H920" s="16" t="s">
        <v>254</v>
      </c>
      <c r="I920" s="16" t="s">
        <v>32</v>
      </c>
      <c r="J920" s="16" t="s">
        <v>5023</v>
      </c>
      <c r="K920" s="16" t="n">
        <v>52.0390167236328</v>
      </c>
      <c r="L920" s="16" t="n">
        <v>0.736326217651367</v>
      </c>
      <c r="M920" s="16" t="s">
        <v>100</v>
      </c>
      <c r="N920" s="16"/>
      <c r="O920" s="16"/>
      <c r="P920" s="16"/>
      <c r="Q920" s="16" t="s">
        <v>100</v>
      </c>
    </row>
    <row r="921" customFormat="false" ht="15" hidden="false" customHeight="false" outlineLevel="0" collapsed="false">
      <c r="A921" s="16" t="n">
        <v>78043</v>
      </c>
      <c r="B921" s="16" t="s">
        <v>5024</v>
      </c>
      <c r="C921" s="16" t="s">
        <v>5025</v>
      </c>
      <c r="D921" s="16" t="s">
        <v>22</v>
      </c>
      <c r="E921" s="16" t="s">
        <v>4235</v>
      </c>
      <c r="F921" s="16" t="s">
        <v>72</v>
      </c>
      <c r="G921" s="16" t="s">
        <v>5026</v>
      </c>
      <c r="H921" s="16" t="s">
        <v>254</v>
      </c>
      <c r="I921" s="16" t="s">
        <v>32</v>
      </c>
      <c r="J921" s="16" t="s">
        <v>5027</v>
      </c>
      <c r="K921" s="16" t="n">
        <v>52.3227577209473</v>
      </c>
      <c r="L921" s="16" t="n">
        <v>1.14004063606262</v>
      </c>
      <c r="M921" s="16" t="s">
        <v>98</v>
      </c>
      <c r="N921" s="16"/>
      <c r="O921" s="16"/>
      <c r="P921" s="16"/>
      <c r="Q921" s="16" t="s">
        <v>100</v>
      </c>
    </row>
    <row r="922" customFormat="false" ht="15" hidden="false" customHeight="false" outlineLevel="0" collapsed="false">
      <c r="A922" s="16" t="n">
        <v>78045</v>
      </c>
      <c r="B922" s="16" t="s">
        <v>5028</v>
      </c>
      <c r="C922" s="16" t="s">
        <v>5029</v>
      </c>
      <c r="D922" s="16" t="s">
        <v>22</v>
      </c>
      <c r="E922" s="16" t="s">
        <v>94</v>
      </c>
      <c r="F922" s="16" t="s">
        <v>72</v>
      </c>
      <c r="G922" s="16" t="s">
        <v>253</v>
      </c>
      <c r="H922" s="16" t="s">
        <v>254</v>
      </c>
      <c r="I922" s="16" t="s">
        <v>32</v>
      </c>
      <c r="J922" s="16" t="s">
        <v>5030</v>
      </c>
      <c r="K922" s="16" t="n">
        <v>52.0506134033203</v>
      </c>
      <c r="L922" s="16" t="n">
        <v>1.19261133670807</v>
      </c>
      <c r="M922" s="16" t="s">
        <v>98</v>
      </c>
      <c r="N922" s="16" t="s">
        <v>5031</v>
      </c>
      <c r="O922" s="16"/>
      <c r="P922" s="16" t="s">
        <v>2499</v>
      </c>
      <c r="Q922" s="16" t="s">
        <v>100</v>
      </c>
    </row>
    <row r="923" customFormat="false" ht="15" hidden="false" customHeight="false" outlineLevel="0" collapsed="false">
      <c r="A923" s="16" t="n">
        <v>78102</v>
      </c>
      <c r="B923" s="16" t="s">
        <v>5032</v>
      </c>
      <c r="C923" s="16" t="s">
        <v>5033</v>
      </c>
      <c r="D923" s="16" t="s">
        <v>22</v>
      </c>
      <c r="E923" s="16" t="s">
        <v>4235</v>
      </c>
      <c r="F923" s="16" t="s">
        <v>1519</v>
      </c>
      <c r="G923" s="16" t="s">
        <v>495</v>
      </c>
      <c r="H923" s="16" t="s">
        <v>52</v>
      </c>
      <c r="I923" s="16" t="s">
        <v>31</v>
      </c>
      <c r="J923" s="16" t="s">
        <v>5034</v>
      </c>
      <c r="K923" s="16" t="n">
        <v>53.4512519836426</v>
      </c>
      <c r="L923" s="16" t="n">
        <v>-2.96173477172852</v>
      </c>
      <c r="M923" s="16" t="s">
        <v>100</v>
      </c>
      <c r="N923" s="16"/>
      <c r="O923" s="16"/>
      <c r="P923" s="16"/>
      <c r="Q923" s="16" t="s">
        <v>100</v>
      </c>
    </row>
    <row r="924" customFormat="false" ht="15" hidden="false" customHeight="false" outlineLevel="0" collapsed="false">
      <c r="A924" s="16" t="n">
        <v>78133</v>
      </c>
      <c r="B924" s="16" t="s">
        <v>5035</v>
      </c>
      <c r="C924" s="16" t="s">
        <v>5036</v>
      </c>
      <c r="D924" s="16" t="s">
        <v>23</v>
      </c>
      <c r="E924" s="16" t="s">
        <v>4235</v>
      </c>
      <c r="F924" s="16" t="s">
        <v>5037</v>
      </c>
      <c r="G924" s="16" t="s">
        <v>1401</v>
      </c>
      <c r="H924" s="16" t="s">
        <v>50</v>
      </c>
      <c r="I924" s="16" t="s">
        <v>35</v>
      </c>
      <c r="J924" s="16" t="s">
        <v>5038</v>
      </c>
      <c r="K924" s="16" t="n">
        <v>53.7708435058594</v>
      </c>
      <c r="L924" s="16" t="n">
        <v>-1.80145275592804</v>
      </c>
      <c r="M924" s="16" t="s">
        <v>100</v>
      </c>
      <c r="N924" s="16"/>
      <c r="O924" s="16"/>
      <c r="P924" s="16"/>
      <c r="Q924" s="16" t="s">
        <v>100</v>
      </c>
    </row>
    <row r="925" customFormat="false" ht="15" hidden="false" customHeight="false" outlineLevel="0" collapsed="false">
      <c r="A925" s="16" t="n">
        <v>78482</v>
      </c>
      <c r="B925" s="16" t="s">
        <v>5039</v>
      </c>
      <c r="C925" s="16" t="s">
        <v>5040</v>
      </c>
      <c r="D925" s="16" t="s">
        <v>23</v>
      </c>
      <c r="E925" s="16" t="s">
        <v>4235</v>
      </c>
      <c r="F925" s="16" t="s">
        <v>5041</v>
      </c>
      <c r="G925" s="16" t="s">
        <v>5042</v>
      </c>
      <c r="H925" s="16" t="s">
        <v>254</v>
      </c>
      <c r="I925" s="16" t="s">
        <v>32</v>
      </c>
      <c r="J925" s="16" t="s">
        <v>5043</v>
      </c>
      <c r="K925" s="16" t="n">
        <v>52.466724395752</v>
      </c>
      <c r="L925" s="16" t="n">
        <v>1.44673264026642</v>
      </c>
      <c r="M925" s="16" t="s">
        <v>98</v>
      </c>
      <c r="N925" s="16"/>
      <c r="O925" s="16"/>
      <c r="P925" s="16"/>
      <c r="Q925" s="16" t="s">
        <v>100</v>
      </c>
    </row>
    <row r="926" customFormat="false" ht="15" hidden="false" customHeight="false" outlineLevel="0" collapsed="false">
      <c r="A926" s="16" t="n">
        <v>78486</v>
      </c>
      <c r="B926" s="16" t="s">
        <v>5044</v>
      </c>
      <c r="C926" s="16" t="s">
        <v>5045</v>
      </c>
      <c r="D926" s="16" t="s">
        <v>23</v>
      </c>
      <c r="E926" s="16" t="s">
        <v>94</v>
      </c>
      <c r="F926" s="16" t="s">
        <v>5046</v>
      </c>
      <c r="G926" s="16" t="s">
        <v>3171</v>
      </c>
      <c r="H926" s="16" t="s">
        <v>45</v>
      </c>
      <c r="I926" s="16" t="s">
        <v>29</v>
      </c>
      <c r="J926" s="16" t="s">
        <v>5047</v>
      </c>
      <c r="K926" s="16" t="n">
        <v>51.377197265625</v>
      </c>
      <c r="L926" s="16" t="n">
        <v>1.39047861099243</v>
      </c>
      <c r="M926" s="16" t="s">
        <v>98</v>
      </c>
      <c r="N926" s="16" t="s">
        <v>5048</v>
      </c>
      <c r="O926" s="16" t="s">
        <v>5049</v>
      </c>
      <c r="P926" s="16" t="s">
        <v>5050</v>
      </c>
      <c r="Q926" s="16" t="s">
        <v>100</v>
      </c>
    </row>
    <row r="927" customFormat="false" ht="15" hidden="false" customHeight="false" outlineLevel="0" collapsed="false">
      <c r="A927" s="16" t="n">
        <v>78514</v>
      </c>
      <c r="B927" s="16" t="s">
        <v>5051</v>
      </c>
      <c r="C927" s="16" t="s">
        <v>5052</v>
      </c>
      <c r="D927" s="16" t="s">
        <v>22</v>
      </c>
      <c r="E927" s="16" t="s">
        <v>4235</v>
      </c>
      <c r="F927" s="16" t="s">
        <v>2975</v>
      </c>
      <c r="G927" s="16" t="s">
        <v>5053</v>
      </c>
      <c r="H927" s="16" t="s">
        <v>285</v>
      </c>
      <c r="I927" s="16" t="s">
        <v>34</v>
      </c>
      <c r="J927" s="16" t="s">
        <v>5054</v>
      </c>
      <c r="K927" s="16" t="n">
        <v>52.8177795410156</v>
      </c>
      <c r="L927" s="16" t="n">
        <v>-1.65636909008026</v>
      </c>
      <c r="M927" s="16" t="s">
        <v>98</v>
      </c>
      <c r="N927" s="16" t="s">
        <v>5055</v>
      </c>
      <c r="O927" s="16"/>
      <c r="P927" s="16" t="s">
        <v>2984</v>
      </c>
      <c r="Q927" s="16" t="s">
        <v>100</v>
      </c>
    </row>
    <row r="928" customFormat="false" ht="15" hidden="false" customHeight="false" outlineLevel="0" collapsed="false">
      <c r="A928" s="16" t="n">
        <v>78822</v>
      </c>
      <c r="B928" s="16" t="s">
        <v>5056</v>
      </c>
      <c r="C928" s="16" t="s">
        <v>5057</v>
      </c>
      <c r="D928" s="16" t="s">
        <v>22</v>
      </c>
      <c r="E928" s="16" t="s">
        <v>4235</v>
      </c>
      <c r="F928" s="16" t="s">
        <v>2621</v>
      </c>
      <c r="G928" s="16" t="s">
        <v>5058</v>
      </c>
      <c r="H928" s="16" t="s">
        <v>769</v>
      </c>
      <c r="I928" s="16" t="s">
        <v>36</v>
      </c>
      <c r="J928" s="16" t="s">
        <v>5059</v>
      </c>
      <c r="K928" s="16" t="n">
        <v>52.4912910461426</v>
      </c>
      <c r="L928" s="16" t="n">
        <v>-0.710753738880158</v>
      </c>
      <c r="M928" s="16" t="s">
        <v>98</v>
      </c>
      <c r="N928" s="16" t="s">
        <v>5060</v>
      </c>
      <c r="O928" s="16"/>
      <c r="P928" s="16" t="s">
        <v>5061</v>
      </c>
      <c r="Q928" s="16" t="s">
        <v>100</v>
      </c>
    </row>
    <row r="929" customFormat="false" ht="15" hidden="false" customHeight="false" outlineLevel="0" collapsed="false">
      <c r="A929" s="16" t="n">
        <v>78925</v>
      </c>
      <c r="B929" s="16" t="s">
        <v>5062</v>
      </c>
      <c r="C929" s="16" t="s">
        <v>5063</v>
      </c>
      <c r="D929" s="16" t="s">
        <v>22</v>
      </c>
      <c r="E929" s="16" t="s">
        <v>4235</v>
      </c>
      <c r="F929" s="16" t="s">
        <v>3062</v>
      </c>
      <c r="G929" s="16" t="s">
        <v>33</v>
      </c>
      <c r="H929" s="16" t="s">
        <v>44</v>
      </c>
      <c r="I929" s="16" t="s">
        <v>33</v>
      </c>
      <c r="J929" s="16" t="s">
        <v>5064</v>
      </c>
      <c r="K929" s="16" t="n">
        <v>51.4477348327637</v>
      </c>
      <c r="L929" s="16" t="n">
        <v>-0.0052187996916472</v>
      </c>
      <c r="M929" s="16" t="s">
        <v>98</v>
      </c>
      <c r="N929" s="16" t="s">
        <v>5065</v>
      </c>
      <c r="O929" s="16"/>
      <c r="P929" s="16" t="s">
        <v>5066</v>
      </c>
      <c r="Q929" s="16" t="s">
        <v>100</v>
      </c>
    </row>
    <row r="930" customFormat="false" ht="15" hidden="false" customHeight="false" outlineLevel="0" collapsed="false">
      <c r="A930" s="16" t="n">
        <v>245496</v>
      </c>
      <c r="B930" s="16" t="s">
        <v>5067</v>
      </c>
      <c r="C930" s="16" t="s">
        <v>5068</v>
      </c>
      <c r="D930" s="16" t="s">
        <v>22</v>
      </c>
      <c r="E930" s="16" t="s">
        <v>4235</v>
      </c>
      <c r="F930" s="16" t="s">
        <v>2559</v>
      </c>
      <c r="G930" s="16" t="s">
        <v>5069</v>
      </c>
      <c r="H930" s="16" t="s">
        <v>45</v>
      </c>
      <c r="I930" s="16" t="s">
        <v>29</v>
      </c>
      <c r="J930" s="16" t="s">
        <v>5070</v>
      </c>
      <c r="K930" s="16" t="n">
        <v>51.372486114502</v>
      </c>
      <c r="L930" s="16" t="n">
        <v>0.285555928945541</v>
      </c>
      <c r="M930" s="16" t="s">
        <v>100</v>
      </c>
      <c r="N930" s="16"/>
      <c r="O930" s="16"/>
      <c r="P930" s="16"/>
      <c r="Q930" s="16" t="s">
        <v>100</v>
      </c>
    </row>
    <row r="931" customFormat="false" ht="15" hidden="false" customHeight="false" outlineLevel="0" collapsed="false">
      <c r="A931" s="16" t="n">
        <v>352651</v>
      </c>
      <c r="B931" s="16" t="s">
        <v>5071</v>
      </c>
      <c r="C931" s="16" t="s">
        <v>5072</v>
      </c>
      <c r="D931" s="16" t="s">
        <v>22</v>
      </c>
      <c r="E931" s="16" t="s">
        <v>4235</v>
      </c>
      <c r="F931" s="16" t="s">
        <v>2354</v>
      </c>
      <c r="G931" s="16" t="s">
        <v>2220</v>
      </c>
      <c r="H931" s="16" t="s">
        <v>1034</v>
      </c>
      <c r="I931" s="16" t="s">
        <v>30</v>
      </c>
      <c r="J931" s="16" t="s">
        <v>5073</v>
      </c>
      <c r="K931" s="16" t="n">
        <v>50.3271484375</v>
      </c>
      <c r="L931" s="16" t="n">
        <v>-4.77303791046143</v>
      </c>
      <c r="M931" s="16" t="s">
        <v>100</v>
      </c>
      <c r="N931" s="16"/>
      <c r="O931" s="16"/>
      <c r="P931" s="16"/>
      <c r="Q931" s="16" t="s">
        <v>100</v>
      </c>
    </row>
    <row r="932" customFormat="false" ht="15" hidden="false" customHeight="false" outlineLevel="0" collapsed="false">
      <c r="A932" s="16" t="n">
        <v>352674</v>
      </c>
      <c r="B932" s="16" t="s">
        <v>5074</v>
      </c>
      <c r="C932" s="16" t="s">
        <v>5075</v>
      </c>
      <c r="D932" s="16" t="s">
        <v>23</v>
      </c>
      <c r="E932" s="16" t="s">
        <v>4235</v>
      </c>
      <c r="F932" s="16" t="s">
        <v>5076</v>
      </c>
      <c r="G932" s="16" t="s">
        <v>5077</v>
      </c>
      <c r="H932" s="16" t="s">
        <v>2585</v>
      </c>
      <c r="I932" s="16" t="s">
        <v>31</v>
      </c>
      <c r="J932" s="16" t="s">
        <v>5078</v>
      </c>
      <c r="K932" s="16" t="n">
        <v>54.1988868713379</v>
      </c>
      <c r="L932" s="16" t="n">
        <v>-3.09781789779663</v>
      </c>
      <c r="M932" s="16" t="s">
        <v>100</v>
      </c>
      <c r="N932" s="16"/>
      <c r="O932" s="16"/>
      <c r="P932" s="16"/>
      <c r="Q932" s="16" t="s">
        <v>100</v>
      </c>
    </row>
    <row r="933" customFormat="false" ht="15" hidden="false" customHeight="false" outlineLevel="0" collapsed="false">
      <c r="A933" s="16" t="n">
        <v>352756</v>
      </c>
      <c r="B933" s="16" t="s">
        <v>5079</v>
      </c>
      <c r="C933" s="16" t="s">
        <v>5080</v>
      </c>
      <c r="D933" s="16" t="s">
        <v>22</v>
      </c>
      <c r="E933" s="16" t="s">
        <v>94</v>
      </c>
      <c r="F933" s="16" t="s">
        <v>5081</v>
      </c>
      <c r="G933" s="16" t="s">
        <v>4823</v>
      </c>
      <c r="H933" s="16" t="s">
        <v>208</v>
      </c>
      <c r="I933" s="16" t="s">
        <v>30</v>
      </c>
      <c r="J933" s="16" t="s">
        <v>5082</v>
      </c>
      <c r="K933" s="16" t="n">
        <v>51.9835586547852</v>
      </c>
      <c r="L933" s="16" t="n">
        <v>-1.70594274997711</v>
      </c>
      <c r="M933" s="16" t="s">
        <v>98</v>
      </c>
      <c r="N933" s="16" t="s">
        <v>5083</v>
      </c>
      <c r="O933" s="16"/>
      <c r="P933" s="16" t="s">
        <v>5084</v>
      </c>
      <c r="Q933" s="16" t="s">
        <v>100</v>
      </c>
    </row>
    <row r="934" customFormat="false" ht="15" hidden="false" customHeight="false" outlineLevel="0" collapsed="false">
      <c r="A934" s="16" t="n">
        <v>462443</v>
      </c>
      <c r="B934" s="16" t="s">
        <v>5085</v>
      </c>
      <c r="C934" s="16" t="s">
        <v>5086</v>
      </c>
      <c r="D934" s="16" t="s">
        <v>22</v>
      </c>
      <c r="E934" s="16" t="s">
        <v>94</v>
      </c>
      <c r="F934" s="16" t="s">
        <v>65</v>
      </c>
      <c r="G934" s="16" t="s">
        <v>33</v>
      </c>
      <c r="H934" s="16" t="s">
        <v>44</v>
      </c>
      <c r="I934" s="16" t="s">
        <v>33</v>
      </c>
      <c r="J934" s="16" t="s">
        <v>5087</v>
      </c>
      <c r="K934" s="16" t="n">
        <v>51.4722671508789</v>
      </c>
      <c r="L934" s="16" t="n">
        <v>-0.011118046939373</v>
      </c>
      <c r="M934" s="16" t="s">
        <v>98</v>
      </c>
      <c r="N934" s="16" t="s">
        <v>5088</v>
      </c>
      <c r="O934" s="16" t="s">
        <v>5089</v>
      </c>
      <c r="P934" s="16" t="s">
        <v>5090</v>
      </c>
      <c r="Q934" s="16" t="s">
        <v>100</v>
      </c>
    </row>
    <row r="935" customFormat="false" ht="15" hidden="false" customHeight="false" outlineLevel="0" collapsed="false">
      <c r="A935" s="16" t="n">
        <v>462444</v>
      </c>
      <c r="B935" s="16" t="s">
        <v>5091</v>
      </c>
      <c r="C935" s="16" t="s">
        <v>5092</v>
      </c>
      <c r="D935" s="16" t="s">
        <v>22</v>
      </c>
      <c r="E935" s="16" t="s">
        <v>94</v>
      </c>
      <c r="F935" s="16" t="s">
        <v>65</v>
      </c>
      <c r="G935" s="16" t="s">
        <v>5093</v>
      </c>
      <c r="H935" s="16" t="s">
        <v>50</v>
      </c>
      <c r="I935" s="16" t="s">
        <v>35</v>
      </c>
      <c r="J935" s="16" t="s">
        <v>5094</v>
      </c>
      <c r="K935" s="16" t="n">
        <v>53.6925315856934</v>
      </c>
      <c r="L935" s="16" t="n">
        <v>-1.78744947910309</v>
      </c>
      <c r="M935" s="16" t="s">
        <v>98</v>
      </c>
      <c r="N935" s="16" t="s">
        <v>5095</v>
      </c>
      <c r="O935" s="16" t="s">
        <v>5096</v>
      </c>
      <c r="P935" s="16" t="s">
        <v>5097</v>
      </c>
      <c r="Q935" s="16" t="s">
        <v>100</v>
      </c>
    </row>
    <row r="936" customFormat="false" ht="15" hidden="false" customHeight="false" outlineLevel="0" collapsed="false">
      <c r="A936" s="16" t="n">
        <v>462451</v>
      </c>
      <c r="B936" s="16" t="s">
        <v>5098</v>
      </c>
      <c r="C936" s="16" t="s">
        <v>5099</v>
      </c>
      <c r="D936" s="16" t="s">
        <v>22</v>
      </c>
      <c r="E936" s="16" t="s">
        <v>94</v>
      </c>
      <c r="F936" s="16" t="s">
        <v>65</v>
      </c>
      <c r="G936" s="16" t="s">
        <v>33</v>
      </c>
      <c r="H936" s="16" t="s">
        <v>44</v>
      </c>
      <c r="I936" s="16" t="s">
        <v>33</v>
      </c>
      <c r="J936" s="16" t="s">
        <v>5100</v>
      </c>
      <c r="K936" s="16" t="n">
        <v>51.452018737793</v>
      </c>
      <c r="L936" s="16" t="n">
        <v>-0.0128474393859505</v>
      </c>
      <c r="M936" s="16" t="s">
        <v>98</v>
      </c>
      <c r="N936" s="16" t="s">
        <v>5101</v>
      </c>
      <c r="O936" s="16" t="s">
        <v>5089</v>
      </c>
      <c r="P936" s="16" t="s">
        <v>5102</v>
      </c>
      <c r="Q936" s="16" t="s">
        <v>100</v>
      </c>
    </row>
    <row r="937" customFormat="false" ht="15" hidden="false" customHeight="false" outlineLevel="0" collapsed="false">
      <c r="A937" s="16" t="n">
        <v>462452</v>
      </c>
      <c r="B937" s="16" t="s">
        <v>5103</v>
      </c>
      <c r="C937" s="16" t="s">
        <v>5104</v>
      </c>
      <c r="D937" s="16" t="s">
        <v>22</v>
      </c>
      <c r="E937" s="16" t="s">
        <v>94</v>
      </c>
      <c r="F937" s="16" t="s">
        <v>65</v>
      </c>
      <c r="G937" s="16" t="s">
        <v>5105</v>
      </c>
      <c r="H937" s="16" t="s">
        <v>595</v>
      </c>
      <c r="I937" s="16" t="s">
        <v>33</v>
      </c>
      <c r="J937" s="16" t="s">
        <v>5106</v>
      </c>
      <c r="K937" s="16" t="n">
        <v>51.5807723999023</v>
      </c>
      <c r="L937" s="16" t="n">
        <v>-0.319847822189331</v>
      </c>
      <c r="M937" s="16" t="s">
        <v>98</v>
      </c>
      <c r="N937" s="16" t="s">
        <v>5107</v>
      </c>
      <c r="O937" s="16"/>
      <c r="P937" s="16" t="s">
        <v>5108</v>
      </c>
      <c r="Q937" s="16" t="s">
        <v>100</v>
      </c>
    </row>
    <row r="938" customFormat="false" ht="15" hidden="false" customHeight="false" outlineLevel="0" collapsed="false">
      <c r="A938" s="16" t="n">
        <v>462554</v>
      </c>
      <c r="B938" s="16" t="s">
        <v>5109</v>
      </c>
      <c r="C938" s="16" t="s">
        <v>5110</v>
      </c>
      <c r="D938" s="16" t="s">
        <v>22</v>
      </c>
      <c r="E938" s="16" t="s">
        <v>94</v>
      </c>
      <c r="F938" s="16" t="s">
        <v>65</v>
      </c>
      <c r="G938" s="16" t="s">
        <v>33</v>
      </c>
      <c r="H938" s="16" t="s">
        <v>44</v>
      </c>
      <c r="I938" s="16" t="s">
        <v>33</v>
      </c>
      <c r="J938" s="16" t="s">
        <v>5111</v>
      </c>
      <c r="K938" s="16" t="n">
        <v>51.5134735107422</v>
      </c>
      <c r="L938" s="16" t="n">
        <v>0.064914621412754</v>
      </c>
      <c r="M938" s="16" t="s">
        <v>98</v>
      </c>
      <c r="N938" s="16" t="s">
        <v>5112</v>
      </c>
      <c r="O938" s="16" t="s">
        <v>5113</v>
      </c>
      <c r="P938" s="16" t="s">
        <v>5114</v>
      </c>
      <c r="Q938" s="16" t="s">
        <v>100</v>
      </c>
    </row>
    <row r="939" customFormat="false" ht="15" hidden="false" customHeight="false" outlineLevel="0" collapsed="false">
      <c r="A939" s="16" t="n">
        <v>462557</v>
      </c>
      <c r="B939" s="16" t="s">
        <v>5115</v>
      </c>
      <c r="C939" s="16" t="s">
        <v>5116</v>
      </c>
      <c r="D939" s="16" t="s">
        <v>22</v>
      </c>
      <c r="E939" s="16" t="s">
        <v>94</v>
      </c>
      <c r="F939" s="16" t="s">
        <v>65</v>
      </c>
      <c r="G939" s="16" t="s">
        <v>219</v>
      </c>
      <c r="H939" s="16" t="s">
        <v>220</v>
      </c>
      <c r="I939" s="16" t="s">
        <v>36</v>
      </c>
      <c r="J939" s="16" t="s">
        <v>5117</v>
      </c>
      <c r="K939" s="16" t="n">
        <v>52.9074325561523</v>
      </c>
      <c r="L939" s="16" t="n">
        <v>-1.45521521568298</v>
      </c>
      <c r="M939" s="16" t="s">
        <v>98</v>
      </c>
      <c r="N939" s="16" t="s">
        <v>5118</v>
      </c>
      <c r="O939" s="16" t="s">
        <v>5119</v>
      </c>
      <c r="P939" s="16" t="s">
        <v>5120</v>
      </c>
      <c r="Q939" s="16" t="s">
        <v>100</v>
      </c>
    </row>
    <row r="940" customFormat="false" ht="15" hidden="false" customHeight="false" outlineLevel="0" collapsed="false">
      <c r="A940" s="16" t="n">
        <v>462558</v>
      </c>
      <c r="B940" s="16" t="s">
        <v>5121</v>
      </c>
      <c r="C940" s="16" t="s">
        <v>5122</v>
      </c>
      <c r="D940" s="16" t="s">
        <v>22</v>
      </c>
      <c r="E940" s="16" t="s">
        <v>94</v>
      </c>
      <c r="F940" s="16" t="s">
        <v>65</v>
      </c>
      <c r="G940" s="16" t="s">
        <v>5123</v>
      </c>
      <c r="H940" s="16" t="s">
        <v>44</v>
      </c>
      <c r="I940" s="16" t="s">
        <v>33</v>
      </c>
      <c r="J940" s="16" t="s">
        <v>5124</v>
      </c>
      <c r="K940" s="16" t="n">
        <v>51.521167755127</v>
      </c>
      <c r="L940" s="16" t="n">
        <v>-0.297120094299316</v>
      </c>
      <c r="M940" s="16" t="s">
        <v>98</v>
      </c>
      <c r="N940" s="16" t="s">
        <v>5125</v>
      </c>
      <c r="O940" s="16"/>
      <c r="P940" s="16" t="s">
        <v>5126</v>
      </c>
      <c r="Q940" s="16" t="s">
        <v>100</v>
      </c>
    </row>
    <row r="941" customFormat="false" ht="15" hidden="false" customHeight="false" outlineLevel="0" collapsed="false">
      <c r="A941" s="16" t="n">
        <v>462559</v>
      </c>
      <c r="B941" s="16" t="s">
        <v>5127</v>
      </c>
      <c r="C941" s="16" t="s">
        <v>5128</v>
      </c>
      <c r="D941" s="16" t="s">
        <v>22</v>
      </c>
      <c r="E941" s="16" t="s">
        <v>94</v>
      </c>
      <c r="F941" s="16" t="s">
        <v>65</v>
      </c>
      <c r="G941" s="16" t="s">
        <v>795</v>
      </c>
      <c r="H941" s="16" t="s">
        <v>54</v>
      </c>
      <c r="I941" s="16" t="s">
        <v>35</v>
      </c>
      <c r="J941" s="16" t="s">
        <v>5129</v>
      </c>
      <c r="K941" s="16" t="n">
        <v>53.9997787475586</v>
      </c>
      <c r="L941" s="16" t="n">
        <v>-1.54775583744049</v>
      </c>
      <c r="M941" s="16" t="s">
        <v>98</v>
      </c>
      <c r="N941" s="16" t="s">
        <v>5130</v>
      </c>
      <c r="O941" s="16" t="s">
        <v>5131</v>
      </c>
      <c r="P941" s="16" t="s">
        <v>5132</v>
      </c>
      <c r="Q941" s="16" t="s">
        <v>100</v>
      </c>
    </row>
    <row r="942" customFormat="false" ht="15" hidden="false" customHeight="false" outlineLevel="0" collapsed="false">
      <c r="A942" s="16" t="n">
        <v>462560</v>
      </c>
      <c r="B942" s="16" t="s">
        <v>5133</v>
      </c>
      <c r="C942" s="16" t="s">
        <v>5134</v>
      </c>
      <c r="D942" s="16" t="s">
        <v>22</v>
      </c>
      <c r="E942" s="16" t="s">
        <v>94</v>
      </c>
      <c r="F942" s="16" t="s">
        <v>65</v>
      </c>
      <c r="G942" s="16" t="s">
        <v>5135</v>
      </c>
      <c r="H942" s="16" t="s">
        <v>595</v>
      </c>
      <c r="I942" s="16" t="s">
        <v>33</v>
      </c>
      <c r="J942" s="16" t="s">
        <v>5136</v>
      </c>
      <c r="K942" s="16" t="n">
        <v>51.5670928955078</v>
      </c>
      <c r="L942" s="16" t="n">
        <v>-0.33796963095665</v>
      </c>
      <c r="M942" s="16" t="s">
        <v>98</v>
      </c>
      <c r="N942" s="16" t="s">
        <v>5137</v>
      </c>
      <c r="O942" s="16" t="s">
        <v>5138</v>
      </c>
      <c r="P942" s="16" t="s">
        <v>5139</v>
      </c>
      <c r="Q942" s="16" t="s">
        <v>100</v>
      </c>
    </row>
    <row r="943" customFormat="false" ht="15" hidden="false" customHeight="false" outlineLevel="0" collapsed="false">
      <c r="A943" s="16" t="n">
        <v>462561</v>
      </c>
      <c r="B943" s="16" t="s">
        <v>5140</v>
      </c>
      <c r="C943" s="16" t="s">
        <v>5141</v>
      </c>
      <c r="D943" s="16" t="s">
        <v>22</v>
      </c>
      <c r="E943" s="16" t="s">
        <v>94</v>
      </c>
      <c r="F943" s="16" t="s">
        <v>65</v>
      </c>
      <c r="G943" s="16" t="s">
        <v>3324</v>
      </c>
      <c r="H943" s="16" t="s">
        <v>57</v>
      </c>
      <c r="I943" s="16" t="s">
        <v>32</v>
      </c>
      <c r="J943" s="16" t="s">
        <v>5142</v>
      </c>
      <c r="K943" s="16" t="n">
        <v>51.9283447265625</v>
      </c>
      <c r="L943" s="16" t="n">
        <v>-0.214017674326897</v>
      </c>
      <c r="M943" s="16" t="s">
        <v>98</v>
      </c>
      <c r="N943" s="16" t="s">
        <v>5143</v>
      </c>
      <c r="O943" s="16" t="s">
        <v>5144</v>
      </c>
      <c r="P943" s="16" t="s">
        <v>5145</v>
      </c>
      <c r="Q943" s="16" t="s">
        <v>100</v>
      </c>
    </row>
    <row r="944" customFormat="false" ht="15" hidden="false" customHeight="false" outlineLevel="0" collapsed="false">
      <c r="A944" s="16" t="n">
        <v>462562</v>
      </c>
      <c r="B944" s="16" t="s">
        <v>5146</v>
      </c>
      <c r="C944" s="16" t="s">
        <v>5147</v>
      </c>
      <c r="D944" s="16" t="s">
        <v>22</v>
      </c>
      <c r="E944" s="16" t="s">
        <v>94</v>
      </c>
      <c r="F944" s="16" t="s">
        <v>65</v>
      </c>
      <c r="G944" s="16" t="s">
        <v>1401</v>
      </c>
      <c r="H944" s="16" t="s">
        <v>50</v>
      </c>
      <c r="I944" s="16" t="s">
        <v>35</v>
      </c>
      <c r="J944" s="16" t="s">
        <v>5148</v>
      </c>
      <c r="K944" s="16" t="n">
        <v>53.7285079956055</v>
      </c>
      <c r="L944" s="16" t="n">
        <v>-1.7745668888092</v>
      </c>
      <c r="M944" s="16" t="s">
        <v>98</v>
      </c>
      <c r="N944" s="16" t="s">
        <v>5149</v>
      </c>
      <c r="O944" s="16"/>
      <c r="P944" s="16" t="s">
        <v>5150</v>
      </c>
      <c r="Q944" s="16" t="s">
        <v>100</v>
      </c>
    </row>
    <row r="945" customFormat="false" ht="15" hidden="false" customHeight="false" outlineLevel="0" collapsed="false">
      <c r="A945" s="16" t="n">
        <v>462800</v>
      </c>
      <c r="B945" s="16" t="s">
        <v>5151</v>
      </c>
      <c r="C945" s="16" t="s">
        <v>5152</v>
      </c>
      <c r="D945" s="16" t="s">
        <v>23</v>
      </c>
      <c r="E945" s="16" t="s">
        <v>94</v>
      </c>
      <c r="F945" s="16" t="s">
        <v>986</v>
      </c>
      <c r="G945" s="16" t="s">
        <v>606</v>
      </c>
      <c r="H945" s="16" t="s">
        <v>45</v>
      </c>
      <c r="I945" s="16" t="s">
        <v>29</v>
      </c>
      <c r="J945" s="16" t="s">
        <v>5153</v>
      </c>
      <c r="K945" s="16" t="n">
        <v>51.2018699645996</v>
      </c>
      <c r="L945" s="16" t="n">
        <v>1.17601633071899</v>
      </c>
      <c r="M945" s="16" t="s">
        <v>98</v>
      </c>
      <c r="N945" s="16" t="s">
        <v>5154</v>
      </c>
      <c r="O945" s="16" t="s">
        <v>5155</v>
      </c>
      <c r="P945" s="16" t="s">
        <v>998</v>
      </c>
      <c r="Q945" s="16" t="s">
        <v>100</v>
      </c>
    </row>
    <row r="946" customFormat="false" ht="15" hidden="false" customHeight="false" outlineLevel="0" collapsed="false">
      <c r="A946" s="16" t="n">
        <v>570366</v>
      </c>
      <c r="B946" s="16" t="s">
        <v>5156</v>
      </c>
      <c r="C946" s="16" t="s">
        <v>5157</v>
      </c>
      <c r="D946" s="16" t="s">
        <v>23</v>
      </c>
      <c r="E946" s="16" t="s">
        <v>94</v>
      </c>
      <c r="F946" s="16" t="s">
        <v>4573</v>
      </c>
      <c r="G946" s="16" t="s">
        <v>1930</v>
      </c>
      <c r="H946" s="16" t="s">
        <v>220</v>
      </c>
      <c r="I946" s="16" t="s">
        <v>36</v>
      </c>
      <c r="J946" s="16" t="s">
        <v>1931</v>
      </c>
      <c r="K946" s="16" t="n">
        <v>53.2358360290527</v>
      </c>
      <c r="L946" s="16" t="n">
        <v>-1.39600419998169</v>
      </c>
      <c r="M946" s="16" t="s">
        <v>98</v>
      </c>
      <c r="N946" s="16" t="s">
        <v>5158</v>
      </c>
      <c r="O946" s="16"/>
      <c r="P946" s="16" t="s">
        <v>5159</v>
      </c>
      <c r="Q946" s="16" t="s">
        <v>100</v>
      </c>
    </row>
    <row r="947" customFormat="false" ht="15" hidden="false" customHeight="false" outlineLevel="0" collapsed="false">
      <c r="A947" s="16" t="n">
        <v>750747</v>
      </c>
      <c r="B947" s="16" t="s">
        <v>5160</v>
      </c>
      <c r="C947" s="16" t="s">
        <v>5161</v>
      </c>
      <c r="D947" s="16" t="s">
        <v>23</v>
      </c>
      <c r="E947" s="16" t="s">
        <v>94</v>
      </c>
      <c r="F947" s="16" t="s">
        <v>5162</v>
      </c>
      <c r="G947" s="16" t="s">
        <v>2109</v>
      </c>
      <c r="H947" s="16" t="s">
        <v>48</v>
      </c>
      <c r="I947" s="16" t="s">
        <v>30</v>
      </c>
      <c r="J947" s="16" t="s">
        <v>2110</v>
      </c>
      <c r="K947" s="16" t="n">
        <v>50.6816139221191</v>
      </c>
      <c r="L947" s="16" t="n">
        <v>-3.23964166641235</v>
      </c>
      <c r="M947" s="16" t="s">
        <v>98</v>
      </c>
      <c r="N947" s="16"/>
      <c r="O947" s="16"/>
      <c r="P947" s="16"/>
      <c r="Q947" s="16" t="s">
        <v>100</v>
      </c>
    </row>
    <row r="948" customFormat="false" ht="15" hidden="false" customHeight="false" outlineLevel="0" collapsed="false">
      <c r="A948" s="16" t="n">
        <v>864654</v>
      </c>
      <c r="B948" s="16" t="s">
        <v>5163</v>
      </c>
      <c r="C948" s="16" t="s">
        <v>5164</v>
      </c>
      <c r="D948" s="16" t="s">
        <v>23</v>
      </c>
      <c r="E948" s="16" t="s">
        <v>94</v>
      </c>
      <c r="F948" s="16" t="s">
        <v>4057</v>
      </c>
      <c r="G948" s="16" t="s">
        <v>1401</v>
      </c>
      <c r="H948" s="16" t="s">
        <v>50</v>
      </c>
      <c r="I948" s="16" t="s">
        <v>35</v>
      </c>
      <c r="J948" s="16" t="s">
        <v>1661</v>
      </c>
      <c r="K948" s="16" t="n">
        <v>53.8980178833008</v>
      </c>
      <c r="L948" s="16" t="n">
        <v>-1.9626796245575</v>
      </c>
      <c r="M948" s="16" t="s">
        <v>98</v>
      </c>
      <c r="N948" s="16" t="s">
        <v>5165</v>
      </c>
      <c r="O948" s="16"/>
      <c r="P948" s="16"/>
      <c r="Q948" s="16" t="s">
        <v>100</v>
      </c>
    </row>
    <row r="949" customFormat="false" ht="15" hidden="false" customHeight="false" outlineLevel="0" collapsed="false">
      <c r="A949" s="16" t="n">
        <v>864773</v>
      </c>
      <c r="B949" s="16" t="s">
        <v>5166</v>
      </c>
      <c r="C949" s="16" t="s">
        <v>5167</v>
      </c>
      <c r="D949" s="16" t="s">
        <v>23</v>
      </c>
      <c r="E949" s="16" t="s">
        <v>94</v>
      </c>
      <c r="F949" s="16" t="s">
        <v>1618</v>
      </c>
      <c r="G949" s="16" t="s">
        <v>3482</v>
      </c>
      <c r="H949" s="16" t="s">
        <v>54</v>
      </c>
      <c r="I949" s="16" t="s">
        <v>35</v>
      </c>
      <c r="J949" s="16" t="s">
        <v>4347</v>
      </c>
      <c r="K949" s="16" t="n">
        <v>54.2817077636719</v>
      </c>
      <c r="L949" s="16" t="n">
        <v>-0.434737980365753</v>
      </c>
      <c r="M949" s="16" t="s">
        <v>98</v>
      </c>
      <c r="N949" s="16" t="s">
        <v>5168</v>
      </c>
      <c r="O949" s="16"/>
      <c r="P949" s="16" t="s">
        <v>1626</v>
      </c>
      <c r="Q949" s="16" t="s">
        <v>100</v>
      </c>
    </row>
    <row r="950" customFormat="false" ht="15" hidden="false" customHeight="false" outlineLevel="0" collapsed="false">
      <c r="A950" s="16" t="n">
        <v>978682</v>
      </c>
      <c r="B950" s="16" t="s">
        <v>5169</v>
      </c>
      <c r="C950" s="16" t="s">
        <v>5170</v>
      </c>
      <c r="D950" s="16" t="s">
        <v>23</v>
      </c>
      <c r="E950" s="16" t="s">
        <v>94</v>
      </c>
      <c r="F950" s="16" t="s">
        <v>1213</v>
      </c>
      <c r="G950" s="16" t="s">
        <v>33</v>
      </c>
      <c r="H950" s="16" t="s">
        <v>44</v>
      </c>
      <c r="I950" s="16" t="s">
        <v>33</v>
      </c>
      <c r="J950" s="16" t="s">
        <v>5171</v>
      </c>
      <c r="K950" s="16" t="n">
        <v>51.531551361084</v>
      </c>
      <c r="L950" s="16" t="n">
        <v>-0.171457692980766</v>
      </c>
      <c r="M950" s="16" t="s">
        <v>98</v>
      </c>
      <c r="N950" s="16" t="s">
        <v>5172</v>
      </c>
      <c r="O950" s="16"/>
      <c r="P950" s="16"/>
      <c r="Q950" s="16" t="s">
        <v>100</v>
      </c>
    </row>
    <row r="951" customFormat="false" ht="15" hidden="false" customHeight="false" outlineLevel="0" collapsed="false">
      <c r="A951" s="16" t="n">
        <v>978693</v>
      </c>
      <c r="B951" s="16" t="s">
        <v>5173</v>
      </c>
      <c r="C951" s="16" t="s">
        <v>5174</v>
      </c>
      <c r="D951" s="16" t="s">
        <v>23</v>
      </c>
      <c r="E951" s="16" t="s">
        <v>94</v>
      </c>
      <c r="F951" s="16" t="s">
        <v>3216</v>
      </c>
      <c r="G951" s="16" t="s">
        <v>495</v>
      </c>
      <c r="H951" s="16" t="s">
        <v>52</v>
      </c>
      <c r="I951" s="16" t="s">
        <v>31</v>
      </c>
      <c r="J951" s="16" t="s">
        <v>5175</v>
      </c>
      <c r="K951" s="16" t="n">
        <v>53.4107894897461</v>
      </c>
      <c r="L951" s="16" t="n">
        <v>-2.89533424377441</v>
      </c>
      <c r="M951" s="16" t="s">
        <v>98</v>
      </c>
      <c r="N951" s="16" t="s">
        <v>3218</v>
      </c>
      <c r="O951" s="16"/>
      <c r="P951" s="16" t="s">
        <v>5176</v>
      </c>
      <c r="Q951" s="16" t="s">
        <v>100</v>
      </c>
    </row>
    <row r="952" customFormat="false" ht="15" hidden="false" customHeight="false" outlineLevel="0" collapsed="false">
      <c r="A952" s="16" t="n">
        <v>978694</v>
      </c>
      <c r="B952" s="16" t="s">
        <v>5177</v>
      </c>
      <c r="C952" s="16" t="s">
        <v>5178</v>
      </c>
      <c r="D952" s="16" t="s">
        <v>23</v>
      </c>
      <c r="E952" s="16" t="s">
        <v>94</v>
      </c>
      <c r="F952" s="16" t="s">
        <v>3216</v>
      </c>
      <c r="G952" s="16" t="s">
        <v>495</v>
      </c>
      <c r="H952" s="16" t="s">
        <v>52</v>
      </c>
      <c r="I952" s="16" t="s">
        <v>31</v>
      </c>
      <c r="J952" s="16" t="s">
        <v>5179</v>
      </c>
      <c r="K952" s="16" t="n">
        <v>53.3955688476563</v>
      </c>
      <c r="L952" s="16" t="n">
        <v>-2.96938133239746</v>
      </c>
      <c r="M952" s="16" t="s">
        <v>98</v>
      </c>
      <c r="N952" s="16" t="s">
        <v>3218</v>
      </c>
      <c r="O952" s="16"/>
      <c r="P952" s="16" t="s">
        <v>5180</v>
      </c>
      <c r="Q952" s="16" t="s">
        <v>100</v>
      </c>
    </row>
    <row r="953" customFormat="false" ht="15" hidden="false" customHeight="false" outlineLevel="0" collapsed="false">
      <c r="A953" s="16" t="n">
        <v>978695</v>
      </c>
      <c r="B953" s="16" t="s">
        <v>5181</v>
      </c>
      <c r="C953" s="16" t="s">
        <v>5182</v>
      </c>
      <c r="D953" s="16" t="s">
        <v>23</v>
      </c>
      <c r="E953" s="16" t="s">
        <v>94</v>
      </c>
      <c r="F953" s="16" t="s">
        <v>3216</v>
      </c>
      <c r="G953" s="16" t="s">
        <v>495</v>
      </c>
      <c r="H953" s="16" t="s">
        <v>52</v>
      </c>
      <c r="I953" s="16" t="s">
        <v>31</v>
      </c>
      <c r="J953" s="16" t="s">
        <v>5183</v>
      </c>
      <c r="K953" s="16" t="n">
        <v>53.3804092407227</v>
      </c>
      <c r="L953" s="16" t="n">
        <v>-2.92553019523621</v>
      </c>
      <c r="M953" s="16" t="s">
        <v>98</v>
      </c>
      <c r="N953" s="16" t="s">
        <v>3218</v>
      </c>
      <c r="O953" s="16"/>
      <c r="P953" s="16" t="s">
        <v>5184</v>
      </c>
      <c r="Q953" s="16" t="s">
        <v>100</v>
      </c>
    </row>
    <row r="954" customFormat="false" ht="15" hidden="false" customHeight="false" outlineLevel="0" collapsed="false">
      <c r="A954" s="16" t="n">
        <v>978699</v>
      </c>
      <c r="B954" s="16" t="s">
        <v>5185</v>
      </c>
      <c r="C954" s="16" t="s">
        <v>5186</v>
      </c>
      <c r="D954" s="16" t="s">
        <v>23</v>
      </c>
      <c r="E954" s="16" t="s">
        <v>94</v>
      </c>
      <c r="F954" s="16" t="s">
        <v>3216</v>
      </c>
      <c r="G954" s="16" t="s">
        <v>495</v>
      </c>
      <c r="H954" s="16" t="s">
        <v>52</v>
      </c>
      <c r="I954" s="16" t="s">
        <v>31</v>
      </c>
      <c r="J954" s="16" t="s">
        <v>5187</v>
      </c>
      <c r="K954" s="16" t="n">
        <v>53.4075698852539</v>
      </c>
      <c r="L954" s="16" t="n">
        <v>-2.91557478904724</v>
      </c>
      <c r="M954" s="16" t="s">
        <v>98</v>
      </c>
      <c r="N954" s="16" t="s">
        <v>3218</v>
      </c>
      <c r="O954" s="16"/>
      <c r="P954" s="16" t="s">
        <v>5188</v>
      </c>
      <c r="Q954" s="16" t="s">
        <v>100</v>
      </c>
    </row>
    <row r="955" customFormat="false" ht="15" hidden="false" customHeight="false" outlineLevel="0" collapsed="false">
      <c r="A955" s="16" t="n">
        <v>978723</v>
      </c>
      <c r="B955" s="16" t="s">
        <v>5189</v>
      </c>
      <c r="C955" s="16" t="s">
        <v>5190</v>
      </c>
      <c r="D955" s="16" t="s">
        <v>23</v>
      </c>
      <c r="E955" s="16" t="s">
        <v>94</v>
      </c>
      <c r="F955" s="16" t="s">
        <v>5191</v>
      </c>
      <c r="G955" s="16" t="s">
        <v>5192</v>
      </c>
      <c r="H955" s="16" t="s">
        <v>595</v>
      </c>
      <c r="I955" s="16" t="s">
        <v>33</v>
      </c>
      <c r="J955" s="16" t="s">
        <v>5193</v>
      </c>
      <c r="K955" s="16" t="n">
        <v>51.425838470459</v>
      </c>
      <c r="L955" s="16" t="n">
        <v>-0.340984970331192</v>
      </c>
      <c r="M955" s="16" t="s">
        <v>98</v>
      </c>
      <c r="N955" s="16" t="s">
        <v>5194</v>
      </c>
      <c r="O955" s="16"/>
      <c r="P955" s="16" t="s">
        <v>5195</v>
      </c>
      <c r="Q955" s="16" t="s">
        <v>100</v>
      </c>
    </row>
    <row r="956" customFormat="false" ht="15" hidden="false" customHeight="false" outlineLevel="0" collapsed="false">
      <c r="A956" s="16" t="n">
        <v>979468</v>
      </c>
      <c r="B956" s="16" t="s">
        <v>5196</v>
      </c>
      <c r="C956" s="16" t="s">
        <v>5197</v>
      </c>
      <c r="D956" s="16" t="s">
        <v>23</v>
      </c>
      <c r="E956" s="16" t="s">
        <v>94</v>
      </c>
      <c r="F956" s="16" t="s">
        <v>4184</v>
      </c>
      <c r="G956" s="16" t="s">
        <v>3097</v>
      </c>
      <c r="H956" s="16" t="s">
        <v>3078</v>
      </c>
      <c r="I956" s="16" t="s">
        <v>35</v>
      </c>
      <c r="J956" s="16" t="s">
        <v>5198</v>
      </c>
      <c r="K956" s="16" t="n">
        <v>53.8527755737305</v>
      </c>
      <c r="L956" s="16" t="n">
        <v>-0.413159161806107</v>
      </c>
      <c r="M956" s="16" t="s">
        <v>98</v>
      </c>
      <c r="N956" s="16" t="s">
        <v>5199</v>
      </c>
      <c r="O956" s="16"/>
      <c r="P956" s="16" t="s">
        <v>5200</v>
      </c>
      <c r="Q956" s="16" t="s">
        <v>100</v>
      </c>
    </row>
    <row r="957" customFormat="false" ht="15" hidden="false" customHeight="false" outlineLevel="0" collapsed="false">
      <c r="A957" s="16" t="n">
        <v>979644</v>
      </c>
      <c r="B957" s="16" t="s">
        <v>5201</v>
      </c>
      <c r="C957" s="16" t="s">
        <v>5202</v>
      </c>
      <c r="D957" s="16" t="s">
        <v>23</v>
      </c>
      <c r="E957" s="16" t="s">
        <v>94</v>
      </c>
      <c r="F957" s="16" t="s">
        <v>1937</v>
      </c>
      <c r="G957" s="16" t="s">
        <v>265</v>
      </c>
      <c r="H957" s="16" t="s">
        <v>50</v>
      </c>
      <c r="I957" s="16" t="s">
        <v>35</v>
      </c>
      <c r="J957" s="16" t="s">
        <v>5203</v>
      </c>
      <c r="K957" s="16" t="n">
        <v>53.7465896606445</v>
      </c>
      <c r="L957" s="16" t="n">
        <v>-1.53905951976776</v>
      </c>
      <c r="M957" s="16" t="s">
        <v>98</v>
      </c>
      <c r="N957" s="16" t="s">
        <v>5204</v>
      </c>
      <c r="O957" s="16" t="s">
        <v>1940</v>
      </c>
      <c r="P957" s="16" t="s">
        <v>1941</v>
      </c>
      <c r="Q957" s="16" t="s">
        <v>100</v>
      </c>
    </row>
    <row r="958" customFormat="false" ht="15" hidden="false" customHeight="false" outlineLevel="0" collapsed="false">
      <c r="A958" s="16" t="n">
        <v>1094717</v>
      </c>
      <c r="B958" s="16" t="s">
        <v>5205</v>
      </c>
      <c r="C958" s="16" t="s">
        <v>5206</v>
      </c>
      <c r="D958" s="16" t="s">
        <v>22</v>
      </c>
      <c r="E958" s="16" t="s">
        <v>94</v>
      </c>
      <c r="F958" s="16" t="s">
        <v>68</v>
      </c>
      <c r="G958" s="16" t="s">
        <v>131</v>
      </c>
      <c r="H958" s="16" t="s">
        <v>54</v>
      </c>
      <c r="I958" s="16" t="s">
        <v>35</v>
      </c>
      <c r="J958" s="16" t="s">
        <v>5207</v>
      </c>
      <c r="K958" s="16" t="n">
        <v>53.8642234802246</v>
      </c>
      <c r="L958" s="16" t="n">
        <v>-0.670747458934784</v>
      </c>
      <c r="M958" s="16" t="s">
        <v>98</v>
      </c>
      <c r="N958" s="16" t="s">
        <v>5208</v>
      </c>
      <c r="O958" s="16" t="s">
        <v>5209</v>
      </c>
      <c r="P958" s="16" t="s">
        <v>5210</v>
      </c>
      <c r="Q958" s="16" t="s">
        <v>100</v>
      </c>
    </row>
    <row r="959" customFormat="false" ht="15" hidden="false" customHeight="false" outlineLevel="0" collapsed="false">
      <c r="A959" s="16" t="n">
        <v>1094732</v>
      </c>
      <c r="B959" s="16" t="s">
        <v>5211</v>
      </c>
      <c r="C959" s="16" t="s">
        <v>5212</v>
      </c>
      <c r="D959" s="16" t="s">
        <v>22</v>
      </c>
      <c r="E959" s="16" t="s">
        <v>94</v>
      </c>
      <c r="F959" s="16" t="s">
        <v>68</v>
      </c>
      <c r="G959" s="16" t="s">
        <v>3555</v>
      </c>
      <c r="H959" s="16" t="s">
        <v>50</v>
      </c>
      <c r="I959" s="16" t="s">
        <v>35</v>
      </c>
      <c r="J959" s="16" t="s">
        <v>5213</v>
      </c>
      <c r="K959" s="16" t="n">
        <v>53.6936645507813</v>
      </c>
      <c r="L959" s="16" t="n">
        <v>-1.61423861980438</v>
      </c>
      <c r="M959" s="16" t="s">
        <v>98</v>
      </c>
      <c r="N959" s="16" t="s">
        <v>5214</v>
      </c>
      <c r="O959" s="16" t="s">
        <v>5215</v>
      </c>
      <c r="P959" s="16" t="s">
        <v>5216</v>
      </c>
      <c r="Q959" s="16" t="s">
        <v>100</v>
      </c>
    </row>
    <row r="960" customFormat="false" ht="15" hidden="false" customHeight="false" outlineLevel="0" collapsed="false">
      <c r="A960" s="16" t="n">
        <v>1094756</v>
      </c>
      <c r="B960" s="16" t="s">
        <v>5217</v>
      </c>
      <c r="C960" s="16" t="s">
        <v>5218</v>
      </c>
      <c r="D960" s="16" t="s">
        <v>22</v>
      </c>
      <c r="E960" s="16" t="s">
        <v>94</v>
      </c>
      <c r="F960" s="16" t="s">
        <v>2330</v>
      </c>
      <c r="G960" s="16" t="s">
        <v>613</v>
      </c>
      <c r="H960" s="16" t="s">
        <v>45</v>
      </c>
      <c r="I960" s="16" t="s">
        <v>29</v>
      </c>
      <c r="J960" s="16" t="s">
        <v>5219</v>
      </c>
      <c r="K960" s="16" t="n">
        <v>51.3662414550781</v>
      </c>
      <c r="L960" s="16" t="n">
        <v>0.0591607615351677</v>
      </c>
      <c r="M960" s="16" t="s">
        <v>98</v>
      </c>
      <c r="N960" s="16" t="s">
        <v>5220</v>
      </c>
      <c r="O960" s="16"/>
      <c r="P960" s="16" t="s">
        <v>5221</v>
      </c>
      <c r="Q960" s="16" t="s">
        <v>100</v>
      </c>
    </row>
    <row r="961" customFormat="false" ht="15" hidden="false" customHeight="false" outlineLevel="0" collapsed="false">
      <c r="A961" s="16" t="n">
        <v>1094758</v>
      </c>
      <c r="B961" s="16" t="s">
        <v>5222</v>
      </c>
      <c r="C961" s="16" t="s">
        <v>5223</v>
      </c>
      <c r="D961" s="16" t="s">
        <v>22</v>
      </c>
      <c r="E961" s="16" t="s">
        <v>94</v>
      </c>
      <c r="F961" s="16" t="s">
        <v>2330</v>
      </c>
      <c r="G961" s="16" t="s">
        <v>613</v>
      </c>
      <c r="H961" s="16" t="s">
        <v>45</v>
      </c>
      <c r="I961" s="16" t="s">
        <v>29</v>
      </c>
      <c r="J961" s="16" t="s">
        <v>5224</v>
      </c>
      <c r="K961" s="16" t="n">
        <v>51.3625030517578</v>
      </c>
      <c r="L961" s="16" t="n">
        <v>0.0951641425490379</v>
      </c>
      <c r="M961" s="16" t="s">
        <v>98</v>
      </c>
      <c r="N961" s="16" t="s">
        <v>5220</v>
      </c>
      <c r="O961" s="16"/>
      <c r="P961" s="16" t="s">
        <v>5221</v>
      </c>
      <c r="Q961" s="16" t="s">
        <v>100</v>
      </c>
    </row>
    <row r="962" customFormat="false" ht="15" hidden="false" customHeight="false" outlineLevel="0" collapsed="false">
      <c r="A962" s="16" t="n">
        <v>1094869</v>
      </c>
      <c r="B962" s="16" t="s">
        <v>5225</v>
      </c>
      <c r="C962" s="16" t="s">
        <v>5226</v>
      </c>
      <c r="D962" s="16" t="s">
        <v>22</v>
      </c>
      <c r="E962" s="16" t="s">
        <v>94</v>
      </c>
      <c r="F962" s="16" t="s">
        <v>986</v>
      </c>
      <c r="G962" s="16" t="s">
        <v>2275</v>
      </c>
      <c r="H962" s="16" t="s">
        <v>285</v>
      </c>
      <c r="I962" s="16" t="s">
        <v>34</v>
      </c>
      <c r="J962" s="16" t="s">
        <v>5227</v>
      </c>
      <c r="K962" s="16" t="n">
        <v>52.9286766052246</v>
      </c>
      <c r="L962" s="16" t="n">
        <v>-2.3565046787262</v>
      </c>
      <c r="M962" s="16" t="s">
        <v>98</v>
      </c>
      <c r="N962" s="16" t="s">
        <v>5228</v>
      </c>
      <c r="O962" s="16" t="s">
        <v>5229</v>
      </c>
      <c r="P962" s="16" t="s">
        <v>5230</v>
      </c>
      <c r="Q962" s="16" t="s">
        <v>100</v>
      </c>
    </row>
    <row r="963" customFormat="false" ht="15" hidden="false" customHeight="false" outlineLevel="0" collapsed="false">
      <c r="A963" s="16" t="n">
        <v>1095035</v>
      </c>
      <c r="B963" s="16" t="s">
        <v>5231</v>
      </c>
      <c r="C963" s="16" t="s">
        <v>5232</v>
      </c>
      <c r="D963" s="16" t="s">
        <v>23</v>
      </c>
      <c r="E963" s="16" t="s">
        <v>94</v>
      </c>
      <c r="F963" s="16" t="s">
        <v>67</v>
      </c>
      <c r="G963" s="16" t="s">
        <v>706</v>
      </c>
      <c r="H963" s="16" t="s">
        <v>34</v>
      </c>
      <c r="I963" s="16" t="s">
        <v>34</v>
      </c>
      <c r="J963" s="16" t="s">
        <v>4623</v>
      </c>
      <c r="K963" s="16" t="n">
        <v>52.5194435119629</v>
      </c>
      <c r="L963" s="16" t="n">
        <v>-1.85517752170563</v>
      </c>
      <c r="M963" s="16" t="s">
        <v>98</v>
      </c>
      <c r="N963" s="16" t="s">
        <v>5233</v>
      </c>
      <c r="O963" s="16"/>
      <c r="P963" s="16" t="s">
        <v>3724</v>
      </c>
      <c r="Q963" s="16" t="s">
        <v>100</v>
      </c>
    </row>
    <row r="964" customFormat="false" ht="15" hidden="false" customHeight="false" outlineLevel="0" collapsed="false">
      <c r="A964" s="16" t="n">
        <v>1095154</v>
      </c>
      <c r="B964" s="16" t="s">
        <v>5234</v>
      </c>
      <c r="C964" s="16" t="s">
        <v>5235</v>
      </c>
      <c r="D964" s="16" t="s">
        <v>23</v>
      </c>
      <c r="E964" s="16" t="s">
        <v>94</v>
      </c>
      <c r="F964" s="16" t="s">
        <v>71</v>
      </c>
      <c r="G964" s="16" t="s">
        <v>2542</v>
      </c>
      <c r="H964" s="16" t="s">
        <v>51</v>
      </c>
      <c r="I964" s="16" t="s">
        <v>29</v>
      </c>
      <c r="J964" s="16" t="s">
        <v>5236</v>
      </c>
      <c r="K964" s="16" t="n">
        <v>51.2827377319336</v>
      </c>
      <c r="L964" s="16" t="n">
        <v>-1.11234366893768</v>
      </c>
      <c r="M964" s="16" t="s">
        <v>98</v>
      </c>
      <c r="N964" s="16" t="s">
        <v>5237</v>
      </c>
      <c r="O964" s="16"/>
      <c r="P964" s="16"/>
      <c r="Q964" s="16" t="s">
        <v>100</v>
      </c>
    </row>
    <row r="965" customFormat="false" ht="15" hidden="false" customHeight="false" outlineLevel="0" collapsed="false">
      <c r="A965" s="16" t="n">
        <v>1095168</v>
      </c>
      <c r="B965" s="16" t="s">
        <v>5238</v>
      </c>
      <c r="C965" s="16" t="s">
        <v>5239</v>
      </c>
      <c r="D965" s="16" t="s">
        <v>23</v>
      </c>
      <c r="E965" s="16" t="s">
        <v>94</v>
      </c>
      <c r="F965" s="16" t="s">
        <v>71</v>
      </c>
      <c r="G965" s="16" t="s">
        <v>5240</v>
      </c>
      <c r="H965" s="16" t="s">
        <v>2433</v>
      </c>
      <c r="I965" s="16" t="s">
        <v>38</v>
      </c>
      <c r="J965" s="16" t="s">
        <v>5241</v>
      </c>
      <c r="K965" s="16" t="n">
        <v>50.9280815124512</v>
      </c>
      <c r="L965" s="16" t="n">
        <v>-1.79319047927856</v>
      </c>
      <c r="M965" s="16" t="s">
        <v>98</v>
      </c>
      <c r="N965" s="16" t="s">
        <v>5242</v>
      </c>
      <c r="O965" s="16"/>
      <c r="P965" s="16" t="s">
        <v>5243</v>
      </c>
      <c r="Q965" s="16" t="s">
        <v>100</v>
      </c>
    </row>
    <row r="966" customFormat="false" ht="15" hidden="false" customHeight="false" outlineLevel="0" collapsed="false">
      <c r="A966" s="16" t="n">
        <v>1095826</v>
      </c>
      <c r="B966" s="16" t="s">
        <v>5244</v>
      </c>
      <c r="C966" s="16" t="s">
        <v>5245</v>
      </c>
      <c r="D966" s="16" t="s">
        <v>23</v>
      </c>
      <c r="E966" s="16" t="s">
        <v>94</v>
      </c>
      <c r="F966" s="16" t="s">
        <v>3054</v>
      </c>
      <c r="G966" s="16" t="s">
        <v>5246</v>
      </c>
      <c r="H966" s="16" t="s">
        <v>44</v>
      </c>
      <c r="I966" s="16" t="s">
        <v>33</v>
      </c>
      <c r="J966" s="16" t="s">
        <v>5247</v>
      </c>
      <c r="K966" s="16" t="n">
        <v>51.5223617553711</v>
      </c>
      <c r="L966" s="16" t="n">
        <v>-0.217203587293625</v>
      </c>
      <c r="M966" s="16" t="s">
        <v>98</v>
      </c>
      <c r="N966" s="16" t="s">
        <v>5248</v>
      </c>
      <c r="O966" s="16"/>
      <c r="P966" s="16" t="s">
        <v>5249</v>
      </c>
      <c r="Q966" s="16" t="s">
        <v>100</v>
      </c>
    </row>
    <row r="967" customFormat="false" ht="15" hidden="false" customHeight="false" outlineLevel="0" collapsed="false">
      <c r="A967" s="16" t="n">
        <v>1095914</v>
      </c>
      <c r="B967" s="16" t="s">
        <v>5250</v>
      </c>
      <c r="C967" s="16" t="s">
        <v>5251</v>
      </c>
      <c r="D967" s="16" t="s">
        <v>23</v>
      </c>
      <c r="E967" s="16" t="s">
        <v>94</v>
      </c>
      <c r="F967" s="16" t="s">
        <v>4879</v>
      </c>
      <c r="G967" s="16" t="s">
        <v>5252</v>
      </c>
      <c r="H967" s="16" t="s">
        <v>57</v>
      </c>
      <c r="I967" s="16" t="s">
        <v>32</v>
      </c>
      <c r="J967" s="16" t="s">
        <v>5253</v>
      </c>
      <c r="K967" s="16" t="n">
        <v>51.687183380127</v>
      </c>
      <c r="L967" s="16" t="n">
        <v>-0.177504807710648</v>
      </c>
      <c r="M967" s="16" t="s">
        <v>98</v>
      </c>
      <c r="N967" s="16" t="s">
        <v>5254</v>
      </c>
      <c r="O967" s="16"/>
      <c r="P967" s="16"/>
      <c r="Q967" s="16" t="s">
        <v>100</v>
      </c>
    </row>
    <row r="968" customFormat="false" ht="15" hidden="false" customHeight="false" outlineLevel="0" collapsed="false">
      <c r="A968" s="16" t="n">
        <v>1095944</v>
      </c>
      <c r="B968" s="16" t="s">
        <v>5255</v>
      </c>
      <c r="C968" s="16" t="s">
        <v>5256</v>
      </c>
      <c r="D968" s="16" t="s">
        <v>23</v>
      </c>
      <c r="E968" s="16" t="s">
        <v>94</v>
      </c>
      <c r="F968" s="16" t="s">
        <v>5081</v>
      </c>
      <c r="G968" s="16" t="s">
        <v>5257</v>
      </c>
      <c r="H968" s="16" t="s">
        <v>2433</v>
      </c>
      <c r="I968" s="16" t="s">
        <v>38</v>
      </c>
      <c r="J968" s="16" t="s">
        <v>5258</v>
      </c>
      <c r="K968" s="16" t="n">
        <v>51.7123870849609</v>
      </c>
      <c r="L968" s="16" t="n">
        <v>-1.97544896602631</v>
      </c>
      <c r="M968" s="16" t="s">
        <v>98</v>
      </c>
      <c r="N968" s="16" t="s">
        <v>5259</v>
      </c>
      <c r="O968" s="16"/>
      <c r="P968" s="16" t="s">
        <v>5260</v>
      </c>
      <c r="Q968" s="16" t="s">
        <v>100</v>
      </c>
    </row>
    <row r="969" customFormat="false" ht="15" hidden="false" customHeight="false" outlineLevel="0" collapsed="false">
      <c r="A969" s="16" t="n">
        <v>1095945</v>
      </c>
      <c r="B969" s="16" t="s">
        <v>5261</v>
      </c>
      <c r="C969" s="16" t="s">
        <v>5262</v>
      </c>
      <c r="D969" s="16" t="s">
        <v>23</v>
      </c>
      <c r="E969" s="16" t="s">
        <v>94</v>
      </c>
      <c r="F969" s="16" t="s">
        <v>5081</v>
      </c>
      <c r="G969" s="16" t="s">
        <v>5263</v>
      </c>
      <c r="H969" s="16" t="s">
        <v>208</v>
      </c>
      <c r="I969" s="16" t="s">
        <v>30</v>
      </c>
      <c r="J969" s="16" t="s">
        <v>5264</v>
      </c>
      <c r="K969" s="16" t="n">
        <v>51.6880493164063</v>
      </c>
      <c r="L969" s="16" t="n">
        <v>-2.35335183143616</v>
      </c>
      <c r="M969" s="16" t="s">
        <v>98</v>
      </c>
      <c r="N969" s="16" t="s">
        <v>5265</v>
      </c>
      <c r="O969" s="16"/>
      <c r="P969" s="16" t="s">
        <v>5266</v>
      </c>
      <c r="Q969" s="16" t="s">
        <v>100</v>
      </c>
    </row>
    <row r="970" customFormat="false" ht="15" hidden="false" customHeight="false" outlineLevel="0" collapsed="false">
      <c r="A970" s="16" t="n">
        <v>1095946</v>
      </c>
      <c r="B970" s="16" t="s">
        <v>5267</v>
      </c>
      <c r="C970" s="16" t="s">
        <v>5268</v>
      </c>
      <c r="D970" s="16" t="s">
        <v>23</v>
      </c>
      <c r="E970" s="16" t="s">
        <v>94</v>
      </c>
      <c r="F970" s="16" t="s">
        <v>5081</v>
      </c>
      <c r="G970" s="16" t="s">
        <v>208</v>
      </c>
      <c r="H970" s="16" t="s">
        <v>2433</v>
      </c>
      <c r="I970" s="16" t="s">
        <v>38</v>
      </c>
      <c r="J970" s="16" t="s">
        <v>5269</v>
      </c>
      <c r="K970" s="16" t="n">
        <v>51.9921493530273</v>
      </c>
      <c r="L970" s="16" t="n">
        <v>-2.15246367454529</v>
      </c>
      <c r="M970" s="16" t="s">
        <v>98</v>
      </c>
      <c r="N970" s="16" t="s">
        <v>5270</v>
      </c>
      <c r="O970" s="16"/>
      <c r="P970" s="16" t="s">
        <v>5266</v>
      </c>
      <c r="Q970" s="16" t="s">
        <v>100</v>
      </c>
    </row>
    <row r="971" customFormat="false" ht="15" hidden="false" customHeight="false" outlineLevel="0" collapsed="false">
      <c r="A971" s="16" t="n">
        <v>1095947</v>
      </c>
      <c r="B971" s="16" t="s">
        <v>5271</v>
      </c>
      <c r="C971" s="16" t="s">
        <v>5272</v>
      </c>
      <c r="D971" s="16" t="s">
        <v>23</v>
      </c>
      <c r="E971" s="16" t="s">
        <v>94</v>
      </c>
      <c r="F971" s="16" t="s">
        <v>5081</v>
      </c>
      <c r="G971" s="16" t="s">
        <v>5273</v>
      </c>
      <c r="H971" s="16" t="s">
        <v>208</v>
      </c>
      <c r="I971" s="16" t="s">
        <v>30</v>
      </c>
      <c r="J971" s="16" t="s">
        <v>5274</v>
      </c>
      <c r="K971" s="16" t="n">
        <v>51.8112106323242</v>
      </c>
      <c r="L971" s="16" t="n">
        <v>-2.51984882354736</v>
      </c>
      <c r="M971" s="16" t="s">
        <v>98</v>
      </c>
      <c r="N971" s="16" t="s">
        <v>5275</v>
      </c>
      <c r="O971" s="16"/>
      <c r="P971" s="16" t="s">
        <v>5266</v>
      </c>
      <c r="Q971" s="16" t="s">
        <v>100</v>
      </c>
    </row>
    <row r="972" customFormat="false" ht="15" hidden="false" customHeight="false" outlineLevel="0" collapsed="false">
      <c r="A972" s="16" t="n">
        <v>1095948</v>
      </c>
      <c r="B972" s="16" t="s">
        <v>5276</v>
      </c>
      <c r="C972" s="16" t="s">
        <v>5277</v>
      </c>
      <c r="D972" s="16" t="s">
        <v>23</v>
      </c>
      <c r="E972" s="16" t="s">
        <v>94</v>
      </c>
      <c r="F972" s="16" t="s">
        <v>5081</v>
      </c>
      <c r="G972" s="16" t="s">
        <v>5278</v>
      </c>
      <c r="H972" s="16" t="s">
        <v>208</v>
      </c>
      <c r="I972" s="16" t="s">
        <v>30</v>
      </c>
      <c r="J972" s="16" t="s">
        <v>5279</v>
      </c>
      <c r="K972" s="16" t="n">
        <v>51.7273178100586</v>
      </c>
      <c r="L972" s="16" t="n">
        <v>-2.53688216209412</v>
      </c>
      <c r="M972" s="16" t="s">
        <v>98</v>
      </c>
      <c r="N972" s="16" t="s">
        <v>5280</v>
      </c>
      <c r="O972" s="16"/>
      <c r="P972" s="16" t="s">
        <v>5266</v>
      </c>
      <c r="Q972" s="16" t="s">
        <v>100</v>
      </c>
    </row>
    <row r="973" customFormat="false" ht="15" hidden="false" customHeight="false" outlineLevel="0" collapsed="false">
      <c r="A973" s="16" t="n">
        <v>1095949</v>
      </c>
      <c r="B973" s="16" t="s">
        <v>5281</v>
      </c>
      <c r="C973" s="16" t="s">
        <v>5282</v>
      </c>
      <c r="D973" s="16" t="s">
        <v>23</v>
      </c>
      <c r="E973" s="16" t="s">
        <v>94</v>
      </c>
      <c r="F973" s="16" t="s">
        <v>5081</v>
      </c>
      <c r="G973" s="16" t="s">
        <v>5283</v>
      </c>
      <c r="H973" s="16" t="s">
        <v>2433</v>
      </c>
      <c r="I973" s="16" t="s">
        <v>38</v>
      </c>
      <c r="J973" s="16" t="s">
        <v>5284</v>
      </c>
      <c r="K973" s="16" t="n">
        <v>51.7081146240234</v>
      </c>
      <c r="L973" s="16" t="n">
        <v>-1.77816665172577</v>
      </c>
      <c r="M973" s="16" t="s">
        <v>98</v>
      </c>
      <c r="N973" s="16" t="s">
        <v>5285</v>
      </c>
      <c r="O973" s="16"/>
      <c r="P973" s="16" t="s">
        <v>5266</v>
      </c>
      <c r="Q973" s="16" t="s">
        <v>100</v>
      </c>
    </row>
    <row r="974" customFormat="false" ht="15" hidden="false" customHeight="false" outlineLevel="0" collapsed="false">
      <c r="A974" s="16" t="n">
        <v>1095950</v>
      </c>
      <c r="B974" s="16" t="s">
        <v>5286</v>
      </c>
      <c r="C974" s="16" t="s">
        <v>5287</v>
      </c>
      <c r="D974" s="16" t="s">
        <v>23</v>
      </c>
      <c r="E974" s="16" t="s">
        <v>94</v>
      </c>
      <c r="F974" s="16" t="s">
        <v>5081</v>
      </c>
      <c r="G974" s="16" t="s">
        <v>5288</v>
      </c>
      <c r="H974" s="16" t="s">
        <v>208</v>
      </c>
      <c r="I974" s="16" t="s">
        <v>30</v>
      </c>
      <c r="J974" s="16" t="s">
        <v>5289</v>
      </c>
      <c r="K974" s="16" t="n">
        <v>51.7430267333984</v>
      </c>
      <c r="L974" s="16" t="n">
        <v>-2.20812177658081</v>
      </c>
      <c r="M974" s="16" t="s">
        <v>98</v>
      </c>
      <c r="N974" s="16" t="s">
        <v>5290</v>
      </c>
      <c r="O974" s="16"/>
      <c r="P974" s="16" t="s">
        <v>5266</v>
      </c>
      <c r="Q974" s="16" t="s">
        <v>100</v>
      </c>
    </row>
    <row r="975" customFormat="false" ht="15" hidden="false" customHeight="false" outlineLevel="0" collapsed="false">
      <c r="A975" s="16" t="n">
        <v>1096059</v>
      </c>
      <c r="B975" s="16" t="s">
        <v>5291</v>
      </c>
      <c r="C975" s="16" t="s">
        <v>5292</v>
      </c>
      <c r="D975" s="16" t="s">
        <v>23</v>
      </c>
      <c r="E975" s="16" t="s">
        <v>94</v>
      </c>
      <c r="F975" s="16" t="s">
        <v>1843</v>
      </c>
      <c r="G975" s="16" t="s">
        <v>2771</v>
      </c>
      <c r="H975" s="16" t="s">
        <v>279</v>
      </c>
      <c r="I975" s="16" t="s">
        <v>37</v>
      </c>
      <c r="J975" s="16" t="s">
        <v>5293</v>
      </c>
      <c r="K975" s="16" t="n">
        <v>54.9449577331543</v>
      </c>
      <c r="L975" s="16" t="n">
        <v>-1.61495792865753</v>
      </c>
      <c r="M975" s="16" t="s">
        <v>98</v>
      </c>
      <c r="N975" s="16" t="s">
        <v>5294</v>
      </c>
      <c r="O975" s="16"/>
      <c r="P975" s="16"/>
      <c r="Q975" s="16" t="s">
        <v>100</v>
      </c>
    </row>
    <row r="976" customFormat="false" ht="15" hidden="false" customHeight="false" outlineLevel="0" collapsed="false">
      <c r="A976" s="16" t="n">
        <v>1169049</v>
      </c>
      <c r="B976" s="16" t="s">
        <v>5295</v>
      </c>
      <c r="C976" s="16" t="s">
        <v>5296</v>
      </c>
      <c r="D976" s="16" t="s">
        <v>23</v>
      </c>
      <c r="E976" s="16" t="s">
        <v>94</v>
      </c>
      <c r="F976" s="16" t="s">
        <v>3395</v>
      </c>
      <c r="G976" s="16" t="s">
        <v>5297</v>
      </c>
      <c r="H976" s="16" t="s">
        <v>510</v>
      </c>
      <c r="I976" s="16" t="s">
        <v>29</v>
      </c>
      <c r="J976" s="16" t="s">
        <v>5298</v>
      </c>
      <c r="K976" s="16" t="n">
        <v>51.4063758850098</v>
      </c>
      <c r="L976" s="16" t="n">
        <v>-1.29176449775696</v>
      </c>
      <c r="M976" s="16" t="s">
        <v>98</v>
      </c>
      <c r="N976" s="16" t="s">
        <v>5299</v>
      </c>
      <c r="O976" s="16"/>
      <c r="P976" s="16" t="s">
        <v>5300</v>
      </c>
      <c r="Q976" s="16" t="s">
        <v>100</v>
      </c>
    </row>
    <row r="977" customFormat="false" ht="15" hidden="false" customHeight="false" outlineLevel="0" collapsed="false">
      <c r="A977" s="16" t="n">
        <v>1169069</v>
      </c>
      <c r="B977" s="16" t="s">
        <v>5301</v>
      </c>
      <c r="C977" s="16" t="s">
        <v>5302</v>
      </c>
      <c r="D977" s="16" t="s">
        <v>22</v>
      </c>
      <c r="E977" s="16" t="s">
        <v>94</v>
      </c>
      <c r="F977" s="16" t="s">
        <v>4482</v>
      </c>
      <c r="G977" s="16" t="s">
        <v>761</v>
      </c>
      <c r="H977" s="16" t="s">
        <v>762</v>
      </c>
      <c r="I977" s="16" t="s">
        <v>35</v>
      </c>
      <c r="J977" s="16" t="s">
        <v>5303</v>
      </c>
      <c r="K977" s="16" t="n">
        <v>53.3754577636719</v>
      </c>
      <c r="L977" s="16" t="n">
        <v>-1.5360244512558</v>
      </c>
      <c r="M977" s="16" t="s">
        <v>98</v>
      </c>
      <c r="N977" s="16" t="s">
        <v>5304</v>
      </c>
      <c r="O977" s="16" t="s">
        <v>5305</v>
      </c>
      <c r="P977" s="16" t="s">
        <v>5306</v>
      </c>
      <c r="Q977" s="16" t="s">
        <v>100</v>
      </c>
    </row>
    <row r="978" customFormat="false" ht="15" hidden="false" customHeight="false" outlineLevel="0" collapsed="false">
      <c r="A978" s="16" t="n">
        <v>1279531</v>
      </c>
      <c r="B978" s="16" t="s">
        <v>5307</v>
      </c>
      <c r="C978" s="16" t="s">
        <v>5308</v>
      </c>
      <c r="D978" s="16" t="s">
        <v>23</v>
      </c>
      <c r="E978" s="16" t="s">
        <v>94</v>
      </c>
      <c r="F978" s="16" t="s">
        <v>4236</v>
      </c>
      <c r="G978" s="16" t="s">
        <v>2345</v>
      </c>
      <c r="H978" s="16" t="s">
        <v>694</v>
      </c>
      <c r="I978" s="16" t="s">
        <v>36</v>
      </c>
      <c r="J978" s="16" t="s">
        <v>5309</v>
      </c>
      <c r="K978" s="16" t="n">
        <v>53.2017593383789</v>
      </c>
      <c r="L978" s="16" t="n">
        <v>-1.21816110610962</v>
      </c>
      <c r="M978" s="16" t="s">
        <v>100</v>
      </c>
      <c r="N978" s="16"/>
      <c r="O978" s="16"/>
      <c r="P978" s="16"/>
      <c r="Q978" s="16" t="s">
        <v>100</v>
      </c>
    </row>
    <row r="979" customFormat="false" ht="15" hidden="false" customHeight="false" outlineLevel="0" collapsed="false">
      <c r="A979" s="16" t="n">
        <v>1279606</v>
      </c>
      <c r="B979" s="16" t="s">
        <v>5310</v>
      </c>
      <c r="C979" s="16" t="s">
        <v>5311</v>
      </c>
      <c r="D979" s="16" t="s">
        <v>22</v>
      </c>
      <c r="E979" s="16" t="s">
        <v>94</v>
      </c>
      <c r="F979" s="16" t="s">
        <v>1739</v>
      </c>
      <c r="G979" s="16" t="s">
        <v>5312</v>
      </c>
      <c r="H979" s="16" t="s">
        <v>510</v>
      </c>
      <c r="I979" s="16" t="s">
        <v>29</v>
      </c>
      <c r="J979" s="16" t="s">
        <v>5313</v>
      </c>
      <c r="K979" s="16" t="n">
        <v>51.4101676940918</v>
      </c>
      <c r="L979" s="16" t="n">
        <v>-0.687337934970856</v>
      </c>
      <c r="M979" s="16" t="s">
        <v>98</v>
      </c>
      <c r="N979" s="16" t="s">
        <v>1742</v>
      </c>
      <c r="O979" s="16"/>
      <c r="P979" s="16" t="s">
        <v>1743</v>
      </c>
      <c r="Q979" s="16" t="s">
        <v>100</v>
      </c>
    </row>
    <row r="980" customFormat="false" ht="15" hidden="false" customHeight="false" outlineLevel="0" collapsed="false">
      <c r="A980" s="16" t="n">
        <v>1279646</v>
      </c>
      <c r="B980" s="16" t="s">
        <v>5314</v>
      </c>
      <c r="C980" s="16" t="s">
        <v>5315</v>
      </c>
      <c r="D980" s="16" t="s">
        <v>23</v>
      </c>
      <c r="E980" s="16" t="s">
        <v>94</v>
      </c>
      <c r="F980" s="16" t="s">
        <v>955</v>
      </c>
      <c r="G980" s="16" t="s">
        <v>2028</v>
      </c>
      <c r="H980" s="16" t="s">
        <v>310</v>
      </c>
      <c r="I980" s="16" t="s">
        <v>30</v>
      </c>
      <c r="J980" s="16" t="s">
        <v>5316</v>
      </c>
      <c r="K980" s="16" t="n">
        <v>51.1897430419922</v>
      </c>
      <c r="L980" s="16" t="n">
        <v>-2.56270480155945</v>
      </c>
      <c r="M980" s="16" t="s">
        <v>98</v>
      </c>
      <c r="N980" s="16" t="s">
        <v>5317</v>
      </c>
      <c r="O980" s="16" t="s">
        <v>5318</v>
      </c>
      <c r="P980" s="16" t="s">
        <v>5319</v>
      </c>
      <c r="Q980" s="16" t="s">
        <v>100</v>
      </c>
    </row>
    <row r="981" customFormat="false" ht="15" hidden="false" customHeight="false" outlineLevel="0" collapsed="false">
      <c r="A981" s="16" t="n">
        <v>1279647</v>
      </c>
      <c r="B981" s="16" t="s">
        <v>5320</v>
      </c>
      <c r="C981" s="16" t="s">
        <v>5321</v>
      </c>
      <c r="D981" s="16" t="s">
        <v>23</v>
      </c>
      <c r="E981" s="16" t="s">
        <v>94</v>
      </c>
      <c r="F981" s="16" t="s">
        <v>955</v>
      </c>
      <c r="G981" s="16" t="s">
        <v>192</v>
      </c>
      <c r="H981" s="16" t="s">
        <v>56</v>
      </c>
      <c r="I981" s="16" t="s">
        <v>30</v>
      </c>
      <c r="J981" s="16" t="s">
        <v>5322</v>
      </c>
      <c r="K981" s="16" t="n">
        <v>51.5032844543457</v>
      </c>
      <c r="L981" s="16" t="n">
        <v>-2.48439478874207</v>
      </c>
      <c r="M981" s="16" t="s">
        <v>98</v>
      </c>
      <c r="N981" s="16" t="s">
        <v>5323</v>
      </c>
      <c r="O981" s="16"/>
      <c r="P981" s="16" t="s">
        <v>5324</v>
      </c>
      <c r="Q981" s="16" t="s">
        <v>100</v>
      </c>
    </row>
    <row r="982" customFormat="false" ht="15" hidden="false" customHeight="false" outlineLevel="0" collapsed="false">
      <c r="A982" s="16" t="n">
        <v>1279653</v>
      </c>
      <c r="B982" s="16" t="s">
        <v>5325</v>
      </c>
      <c r="C982" s="16" t="s">
        <v>5326</v>
      </c>
      <c r="D982" s="16" t="s">
        <v>23</v>
      </c>
      <c r="E982" s="16" t="s">
        <v>94</v>
      </c>
      <c r="F982" s="16" t="s">
        <v>955</v>
      </c>
      <c r="G982" s="16" t="s">
        <v>164</v>
      </c>
      <c r="H982" s="16" t="s">
        <v>48</v>
      </c>
      <c r="I982" s="16" t="s">
        <v>30</v>
      </c>
      <c r="J982" s="16" t="s">
        <v>5327</v>
      </c>
      <c r="K982" s="16" t="n">
        <v>50.4123916625977</v>
      </c>
      <c r="L982" s="16" t="n">
        <v>-4.11767292022705</v>
      </c>
      <c r="M982" s="16" t="s">
        <v>98</v>
      </c>
      <c r="N982" s="16" t="s">
        <v>5328</v>
      </c>
      <c r="O982" s="16" t="s">
        <v>5329</v>
      </c>
      <c r="P982" s="16" t="s">
        <v>5330</v>
      </c>
      <c r="Q982" s="16" t="s">
        <v>100</v>
      </c>
    </row>
    <row r="983" customFormat="false" ht="15" hidden="false" customHeight="false" outlineLevel="0" collapsed="false">
      <c r="A983" s="16" t="n">
        <v>1349252</v>
      </c>
      <c r="B983" s="16" t="s">
        <v>5331</v>
      </c>
      <c r="C983" s="16" t="s">
        <v>5332</v>
      </c>
      <c r="D983" s="16" t="s">
        <v>22</v>
      </c>
      <c r="E983" s="16" t="s">
        <v>94</v>
      </c>
      <c r="F983" s="16" t="s">
        <v>69</v>
      </c>
      <c r="G983" s="16" t="s">
        <v>5333</v>
      </c>
      <c r="H983" s="16" t="s">
        <v>310</v>
      </c>
      <c r="I983" s="16" t="s">
        <v>30</v>
      </c>
      <c r="J983" s="16" t="s">
        <v>5334</v>
      </c>
      <c r="K983" s="16" t="n">
        <v>51.1379737854004</v>
      </c>
      <c r="L983" s="16" t="n">
        <v>-2.97169613838196</v>
      </c>
      <c r="M983" s="16" t="s">
        <v>98</v>
      </c>
      <c r="N983" s="16" t="s">
        <v>5335</v>
      </c>
      <c r="O983" s="16"/>
      <c r="P983" s="16" t="s">
        <v>5336</v>
      </c>
      <c r="Q983" s="16" t="s">
        <v>100</v>
      </c>
    </row>
    <row r="984" customFormat="false" ht="15" hidden="false" customHeight="false" outlineLevel="0" collapsed="false">
      <c r="A984" s="16" t="n">
        <v>1349731</v>
      </c>
      <c r="B984" s="16" t="s">
        <v>5337</v>
      </c>
      <c r="C984" s="16" t="s">
        <v>5338</v>
      </c>
      <c r="D984" s="16" t="s">
        <v>23</v>
      </c>
      <c r="E984" s="16" t="s">
        <v>94</v>
      </c>
      <c r="F984" s="16" t="s">
        <v>5339</v>
      </c>
      <c r="G984" s="16" t="s">
        <v>4007</v>
      </c>
      <c r="H984" s="16" t="s">
        <v>45</v>
      </c>
      <c r="I984" s="16" t="s">
        <v>29</v>
      </c>
      <c r="J984" s="16" t="s">
        <v>4008</v>
      </c>
      <c r="K984" s="16" t="n">
        <v>51.4154090881348</v>
      </c>
      <c r="L984" s="16" t="n">
        <v>0.793075561523438</v>
      </c>
      <c r="M984" s="16" t="s">
        <v>98</v>
      </c>
      <c r="N984" s="16" t="s">
        <v>5340</v>
      </c>
      <c r="O984" s="16"/>
      <c r="P984" s="16"/>
      <c r="Q984" s="16" t="s">
        <v>100</v>
      </c>
    </row>
    <row r="985" customFormat="false" ht="15" hidden="false" customHeight="false" outlineLevel="0" collapsed="false">
      <c r="A985" s="16" t="n">
        <v>1349762</v>
      </c>
      <c r="B985" s="16" t="s">
        <v>5341</v>
      </c>
      <c r="C985" s="16" t="s">
        <v>5342</v>
      </c>
      <c r="D985" s="16" t="s">
        <v>23</v>
      </c>
      <c r="E985" s="16" t="s">
        <v>94</v>
      </c>
      <c r="F985" s="16" t="s">
        <v>5342</v>
      </c>
      <c r="G985" s="16" t="s">
        <v>3291</v>
      </c>
      <c r="H985" s="16" t="s">
        <v>45</v>
      </c>
      <c r="I985" s="16" t="s">
        <v>29</v>
      </c>
      <c r="J985" s="16" t="s">
        <v>5343</v>
      </c>
      <c r="K985" s="16" t="n">
        <v>51.2860717773438</v>
      </c>
      <c r="L985" s="16" t="n">
        <v>0.556916654109955</v>
      </c>
      <c r="M985" s="16" t="s">
        <v>98</v>
      </c>
      <c r="N985" s="16" t="s">
        <v>5344</v>
      </c>
      <c r="O985" s="16" t="s">
        <v>5345</v>
      </c>
      <c r="P985" s="16" t="s">
        <v>5346</v>
      </c>
      <c r="Q985" s="16" t="s">
        <v>100</v>
      </c>
    </row>
    <row r="986" customFormat="false" ht="15" hidden="false" customHeight="false" outlineLevel="0" collapsed="false">
      <c r="A986" s="16" t="n">
        <v>1349810</v>
      </c>
      <c r="B986" s="16" t="s">
        <v>5347</v>
      </c>
      <c r="C986" s="16" t="s">
        <v>5348</v>
      </c>
      <c r="D986" s="16" t="s">
        <v>23</v>
      </c>
      <c r="E986" s="16" t="s">
        <v>94</v>
      </c>
      <c r="F986" s="16" t="s">
        <v>67</v>
      </c>
      <c r="G986" s="16" t="s">
        <v>706</v>
      </c>
      <c r="H986" s="16" t="s">
        <v>34</v>
      </c>
      <c r="I986" s="16" t="s">
        <v>34</v>
      </c>
      <c r="J986" s="16" t="s">
        <v>5349</v>
      </c>
      <c r="K986" s="16" t="n">
        <v>52.4757118225098</v>
      </c>
      <c r="L986" s="16" t="n">
        <v>-1.83906710147858</v>
      </c>
      <c r="M986" s="16" t="s">
        <v>98</v>
      </c>
      <c r="N986" s="16" t="s">
        <v>5350</v>
      </c>
      <c r="O986" s="16"/>
      <c r="P986" s="16" t="s">
        <v>3724</v>
      </c>
      <c r="Q986" s="16" t="s">
        <v>100</v>
      </c>
    </row>
    <row r="987" customFormat="false" ht="15" hidden="false" customHeight="false" outlineLevel="0" collapsed="false">
      <c r="A987" s="16" t="n">
        <v>1350031</v>
      </c>
      <c r="B987" s="16" t="s">
        <v>5351</v>
      </c>
      <c r="C987" s="16" t="s">
        <v>5352</v>
      </c>
      <c r="D987" s="16" t="s">
        <v>23</v>
      </c>
      <c r="E987" s="16" t="s">
        <v>94</v>
      </c>
      <c r="F987" s="16" t="s">
        <v>5353</v>
      </c>
      <c r="G987" s="16" t="s">
        <v>192</v>
      </c>
      <c r="H987" s="16" t="s">
        <v>56</v>
      </c>
      <c r="I987" s="16" t="s">
        <v>30</v>
      </c>
      <c r="J987" s="16" t="s">
        <v>5354</v>
      </c>
      <c r="K987" s="16" t="n">
        <v>51.6116714477539</v>
      </c>
      <c r="L987" s="16" t="n">
        <v>-2.51887941360474</v>
      </c>
      <c r="M987" s="16" t="s">
        <v>98</v>
      </c>
      <c r="N987" s="16"/>
      <c r="O987" s="16"/>
      <c r="P987" s="16"/>
      <c r="Q987" s="16" t="s">
        <v>100</v>
      </c>
    </row>
    <row r="988" customFormat="false" ht="15" hidden="false" customHeight="false" outlineLevel="0" collapsed="false">
      <c r="A988" s="16" t="n">
        <v>1521809</v>
      </c>
      <c r="B988" s="16" t="s">
        <v>5355</v>
      </c>
      <c r="C988" s="16" t="s">
        <v>5356</v>
      </c>
      <c r="D988" s="16" t="s">
        <v>23</v>
      </c>
      <c r="E988" s="16" t="s">
        <v>94</v>
      </c>
      <c r="F988" s="16" t="s">
        <v>3424</v>
      </c>
      <c r="G988" s="16" t="s">
        <v>647</v>
      </c>
      <c r="H988" s="16" t="s">
        <v>214</v>
      </c>
      <c r="I988" s="16" t="s">
        <v>29</v>
      </c>
      <c r="J988" s="16" t="s">
        <v>5357</v>
      </c>
      <c r="K988" s="16" t="n">
        <v>50.8424453735352</v>
      </c>
      <c r="L988" s="16" t="n">
        <v>-0.411901086568832</v>
      </c>
      <c r="M988" s="16" t="s">
        <v>98</v>
      </c>
      <c r="N988" s="16" t="s">
        <v>5358</v>
      </c>
      <c r="O988" s="16" t="s">
        <v>3427</v>
      </c>
      <c r="P988" s="16" t="s">
        <v>5359</v>
      </c>
      <c r="Q988" s="16" t="s">
        <v>100</v>
      </c>
    </row>
    <row r="989" customFormat="false" ht="15" hidden="false" customHeight="false" outlineLevel="0" collapsed="false">
      <c r="A989" s="16" t="n">
        <v>1521810</v>
      </c>
      <c r="B989" s="16" t="s">
        <v>5360</v>
      </c>
      <c r="C989" s="16" t="s">
        <v>5361</v>
      </c>
      <c r="D989" s="16" t="s">
        <v>23</v>
      </c>
      <c r="E989" s="16" t="s">
        <v>94</v>
      </c>
      <c r="F989" s="16" t="s">
        <v>3424</v>
      </c>
      <c r="G989" s="16" t="s">
        <v>241</v>
      </c>
      <c r="H989" s="16" t="s">
        <v>214</v>
      </c>
      <c r="I989" s="16" t="s">
        <v>29</v>
      </c>
      <c r="J989" s="16" t="s">
        <v>5362</v>
      </c>
      <c r="K989" s="16" t="n">
        <v>50.991138458252</v>
      </c>
      <c r="L989" s="16" t="n">
        <v>-0.0935863107442855</v>
      </c>
      <c r="M989" s="16" t="s">
        <v>98</v>
      </c>
      <c r="N989" s="16" t="s">
        <v>5363</v>
      </c>
      <c r="O989" s="16" t="s">
        <v>3427</v>
      </c>
      <c r="P989" s="16" t="s">
        <v>5364</v>
      </c>
      <c r="Q989" s="16" t="s">
        <v>100</v>
      </c>
    </row>
    <row r="990" customFormat="false" ht="15" hidden="false" customHeight="false" outlineLevel="0" collapsed="false">
      <c r="A990" s="16" t="n">
        <v>1634862</v>
      </c>
      <c r="B990" s="16" t="s">
        <v>5365</v>
      </c>
      <c r="C990" s="16" t="s">
        <v>5366</v>
      </c>
      <c r="D990" s="16" t="s">
        <v>23</v>
      </c>
      <c r="E990" s="16" t="s">
        <v>94</v>
      </c>
      <c r="F990" s="16" t="s">
        <v>4900</v>
      </c>
      <c r="G990" s="16" t="s">
        <v>4901</v>
      </c>
      <c r="H990" s="16" t="s">
        <v>285</v>
      </c>
      <c r="I990" s="16" t="s">
        <v>34</v>
      </c>
      <c r="J990" s="16" t="s">
        <v>5367</v>
      </c>
      <c r="K990" s="16" t="n">
        <v>53.102653503418</v>
      </c>
      <c r="L990" s="16" t="n">
        <v>-2.02809882164001</v>
      </c>
      <c r="M990" s="16" t="s">
        <v>100</v>
      </c>
      <c r="N990" s="16"/>
      <c r="O990" s="16"/>
      <c r="P990" s="16"/>
      <c r="Q990" s="16" t="s">
        <v>100</v>
      </c>
    </row>
    <row r="991" customFormat="false" ht="15" hidden="false" customHeight="false" outlineLevel="0" collapsed="false">
      <c r="A991" s="16" t="n">
        <v>1708424</v>
      </c>
      <c r="B991" s="16" t="s">
        <v>5368</v>
      </c>
      <c r="C991" s="16" t="s">
        <v>5369</v>
      </c>
      <c r="D991" s="16" t="s">
        <v>22</v>
      </c>
      <c r="E991" s="16" t="s">
        <v>94</v>
      </c>
      <c r="F991" s="16" t="s">
        <v>70</v>
      </c>
      <c r="G991" s="16" t="s">
        <v>5370</v>
      </c>
      <c r="H991" s="16" t="s">
        <v>48</v>
      </c>
      <c r="I991" s="16" t="s">
        <v>30</v>
      </c>
      <c r="J991" s="16" t="s">
        <v>5371</v>
      </c>
      <c r="K991" s="16" t="n">
        <v>50.7118072509766</v>
      </c>
      <c r="L991" s="16" t="n">
        <v>-3.07149243354797</v>
      </c>
      <c r="M991" s="16" t="s">
        <v>100</v>
      </c>
      <c r="N991" s="16"/>
      <c r="O991" s="16"/>
      <c r="P991" s="16"/>
      <c r="Q991" s="16" t="s">
        <v>100</v>
      </c>
    </row>
    <row r="992" customFormat="false" ht="15" hidden="false" customHeight="false" outlineLevel="0" collapsed="false">
      <c r="A992" s="16" t="n">
        <v>1708524</v>
      </c>
      <c r="B992" s="16" t="s">
        <v>5372</v>
      </c>
      <c r="C992" s="16" t="s">
        <v>5373</v>
      </c>
      <c r="D992" s="16" t="s">
        <v>22</v>
      </c>
      <c r="E992" s="16" t="s">
        <v>94</v>
      </c>
      <c r="F992" s="16" t="s">
        <v>4141</v>
      </c>
      <c r="G992" s="16" t="s">
        <v>5374</v>
      </c>
      <c r="H992" s="16" t="s">
        <v>620</v>
      </c>
      <c r="I992" s="16" t="s">
        <v>29</v>
      </c>
      <c r="J992" s="16" t="s">
        <v>5375</v>
      </c>
      <c r="K992" s="16" t="n">
        <v>51.8204078674316</v>
      </c>
      <c r="L992" s="16" t="n">
        <v>-0.802549004554749</v>
      </c>
      <c r="M992" s="16" t="s">
        <v>98</v>
      </c>
      <c r="N992" s="16" t="s">
        <v>5376</v>
      </c>
      <c r="O992" s="16"/>
      <c r="P992" s="16" t="s">
        <v>5377</v>
      </c>
      <c r="Q992" s="16" t="s">
        <v>100</v>
      </c>
    </row>
    <row r="993" customFormat="false" ht="15" hidden="false" customHeight="false" outlineLevel="0" collapsed="false">
      <c r="A993" s="16" t="n">
        <v>1819383</v>
      </c>
      <c r="B993" s="16" t="s">
        <v>5378</v>
      </c>
      <c r="C993" s="16" t="s">
        <v>5379</v>
      </c>
      <c r="D993" s="16" t="s">
        <v>22</v>
      </c>
      <c r="E993" s="16" t="s">
        <v>94</v>
      </c>
      <c r="F993" s="16" t="s">
        <v>5380</v>
      </c>
      <c r="G993" s="16" t="s">
        <v>666</v>
      </c>
      <c r="H993" s="16" t="s">
        <v>595</v>
      </c>
      <c r="I993" s="16" t="s">
        <v>33</v>
      </c>
      <c r="J993" s="16" t="s">
        <v>5381</v>
      </c>
      <c r="K993" s="16" t="n">
        <v>51.652774810791</v>
      </c>
      <c r="L993" s="16" t="n">
        <v>-0.0784574523568153</v>
      </c>
      <c r="M993" s="16" t="s">
        <v>100</v>
      </c>
      <c r="N993" s="16"/>
      <c r="O993" s="16"/>
      <c r="P993" s="16"/>
      <c r="Q993" s="16" t="s">
        <v>100</v>
      </c>
    </row>
    <row r="994" customFormat="false" ht="15" hidden="false" customHeight="false" outlineLevel="0" collapsed="false">
      <c r="A994" s="16" t="n">
        <v>1819387</v>
      </c>
      <c r="B994" s="16" t="s">
        <v>5382</v>
      </c>
      <c r="C994" s="16" t="s">
        <v>5383</v>
      </c>
      <c r="D994" s="16" t="s">
        <v>23</v>
      </c>
      <c r="E994" s="16" t="s">
        <v>94</v>
      </c>
      <c r="F994" s="16" t="s">
        <v>2559</v>
      </c>
      <c r="G994" s="16" t="s">
        <v>5384</v>
      </c>
      <c r="H994" s="16" t="s">
        <v>45</v>
      </c>
      <c r="I994" s="16" t="s">
        <v>29</v>
      </c>
      <c r="J994" s="16" t="s">
        <v>5385</v>
      </c>
      <c r="K994" s="16" t="n">
        <v>51.4771118164063</v>
      </c>
      <c r="L994" s="16" t="n">
        <v>0.166657730937004</v>
      </c>
      <c r="M994" s="16" t="s">
        <v>98</v>
      </c>
      <c r="N994" s="16" t="s">
        <v>5386</v>
      </c>
      <c r="O994" s="16"/>
      <c r="P994" s="16"/>
      <c r="Q994" s="16" t="s">
        <v>100</v>
      </c>
    </row>
    <row r="995" customFormat="false" ht="15" hidden="false" customHeight="false" outlineLevel="0" collapsed="false">
      <c r="A995" s="16" t="n">
        <v>1819859</v>
      </c>
      <c r="B995" s="16" t="s">
        <v>5387</v>
      </c>
      <c r="C995" s="16" t="s">
        <v>5388</v>
      </c>
      <c r="D995" s="16" t="s">
        <v>22</v>
      </c>
      <c r="E995" s="16" t="s">
        <v>94</v>
      </c>
      <c r="F995" s="16" t="s">
        <v>3271</v>
      </c>
      <c r="G995" s="16" t="s">
        <v>5389</v>
      </c>
      <c r="H995" s="16" t="s">
        <v>273</v>
      </c>
      <c r="I995" s="16" t="s">
        <v>36</v>
      </c>
      <c r="J995" s="16" t="s">
        <v>5390</v>
      </c>
      <c r="K995" s="16" t="n">
        <v>52.5397529602051</v>
      </c>
      <c r="L995" s="16" t="n">
        <v>-1.36824321746826</v>
      </c>
      <c r="M995" s="16" t="s">
        <v>100</v>
      </c>
      <c r="N995" s="16"/>
      <c r="O995" s="16"/>
      <c r="P995" s="16"/>
      <c r="Q995" s="16" t="s">
        <v>100</v>
      </c>
    </row>
    <row r="996" customFormat="false" ht="15" hidden="false" customHeight="false" outlineLevel="0" collapsed="false">
      <c r="A996" s="16" t="n">
        <v>1819863</v>
      </c>
      <c r="B996" s="16" t="s">
        <v>5391</v>
      </c>
      <c r="C996" s="16" t="s">
        <v>5392</v>
      </c>
      <c r="D996" s="16" t="s">
        <v>22</v>
      </c>
      <c r="E996" s="16" t="s">
        <v>94</v>
      </c>
      <c r="F996" s="16" t="s">
        <v>3271</v>
      </c>
      <c r="G996" s="16" t="s">
        <v>5393</v>
      </c>
      <c r="H996" s="16" t="s">
        <v>5394</v>
      </c>
      <c r="I996" s="16" t="s">
        <v>36</v>
      </c>
      <c r="J996" s="16" t="s">
        <v>5395</v>
      </c>
      <c r="K996" s="16" t="n">
        <v>52.6708030700684</v>
      </c>
      <c r="L996" s="16" t="n">
        <v>-0.737524747848511</v>
      </c>
      <c r="M996" s="16" t="s">
        <v>98</v>
      </c>
      <c r="N996" s="16" t="s">
        <v>5396</v>
      </c>
      <c r="O996" s="16"/>
      <c r="P996" s="16"/>
      <c r="Q996" s="16" t="s">
        <v>100</v>
      </c>
    </row>
    <row r="997" customFormat="false" ht="15" hidden="false" customHeight="false" outlineLevel="0" collapsed="false">
      <c r="A997" s="16" t="n">
        <v>1819864</v>
      </c>
      <c r="B997" s="16" t="s">
        <v>5397</v>
      </c>
      <c r="C997" s="16" t="s">
        <v>1406</v>
      </c>
      <c r="D997" s="16" t="s">
        <v>22</v>
      </c>
      <c r="E997" s="16" t="s">
        <v>94</v>
      </c>
      <c r="F997" s="16" t="s">
        <v>3271</v>
      </c>
      <c r="G997" s="16" t="s">
        <v>5398</v>
      </c>
      <c r="H997" s="16" t="s">
        <v>273</v>
      </c>
      <c r="I997" s="16" t="s">
        <v>36</v>
      </c>
      <c r="J997" s="16" t="s">
        <v>5399</v>
      </c>
      <c r="K997" s="16" t="n">
        <v>52.4872131347656</v>
      </c>
      <c r="L997" s="16" t="n">
        <v>-0.931075811386108</v>
      </c>
      <c r="M997" s="16" t="s">
        <v>98</v>
      </c>
      <c r="N997" s="16" t="s">
        <v>5400</v>
      </c>
      <c r="O997" s="16"/>
      <c r="P997" s="16"/>
      <c r="Q997" s="16" t="s">
        <v>100</v>
      </c>
    </row>
    <row r="998" customFormat="false" ht="15" hidden="false" customHeight="false" outlineLevel="0" collapsed="false">
      <c r="A998" s="16" t="n">
        <v>2026442</v>
      </c>
      <c r="B998" s="16" t="s">
        <v>5401</v>
      </c>
      <c r="C998" s="16" t="s">
        <v>5402</v>
      </c>
      <c r="D998" s="16" t="s">
        <v>22</v>
      </c>
      <c r="E998" s="16" t="s">
        <v>94</v>
      </c>
      <c r="F998" s="16" t="s">
        <v>71</v>
      </c>
      <c r="G998" s="16" t="s">
        <v>4871</v>
      </c>
      <c r="H998" s="16" t="s">
        <v>51</v>
      </c>
      <c r="I998" s="16" t="s">
        <v>29</v>
      </c>
      <c r="J998" s="16" t="s">
        <v>4872</v>
      </c>
      <c r="K998" s="16" t="n">
        <v>50.8484039306641</v>
      </c>
      <c r="L998" s="16" t="n">
        <v>-0.937394618988037</v>
      </c>
      <c r="M998" s="16" t="s">
        <v>98</v>
      </c>
      <c r="N998" s="16" t="s">
        <v>5403</v>
      </c>
      <c r="O998" s="16"/>
      <c r="P998" s="16"/>
      <c r="Q998" s="16" t="s">
        <v>100</v>
      </c>
    </row>
    <row r="999" customFormat="false" ht="15" hidden="false" customHeight="false" outlineLevel="0" collapsed="false">
      <c r="A999" s="16" t="n">
        <v>2027168</v>
      </c>
      <c r="B999" s="16" t="s">
        <v>5404</v>
      </c>
      <c r="C999" s="16" t="s">
        <v>5405</v>
      </c>
      <c r="D999" s="16" t="s">
        <v>22</v>
      </c>
      <c r="E999" s="16" t="s">
        <v>94</v>
      </c>
      <c r="F999" s="16" t="s">
        <v>1430</v>
      </c>
      <c r="G999" s="16" t="s">
        <v>666</v>
      </c>
      <c r="H999" s="16" t="s">
        <v>595</v>
      </c>
      <c r="I999" s="16" t="s">
        <v>33</v>
      </c>
      <c r="J999" s="16" t="s">
        <v>5406</v>
      </c>
      <c r="K999" s="16" t="n">
        <v>51.6665267944336</v>
      </c>
      <c r="L999" s="16" t="n">
        <v>-0.104020677506924</v>
      </c>
      <c r="M999" s="16" t="s">
        <v>98</v>
      </c>
      <c r="N999" s="16" t="s">
        <v>5407</v>
      </c>
      <c r="O999" s="16" t="s">
        <v>5408</v>
      </c>
      <c r="P999" s="16" t="s">
        <v>4777</v>
      </c>
      <c r="Q999" s="16" t="s">
        <v>100</v>
      </c>
    </row>
    <row r="1000" customFormat="false" ht="15" hidden="false" customHeight="false" outlineLevel="0" collapsed="false">
      <c r="A1000" s="16" t="n">
        <v>2027170</v>
      </c>
      <c r="B1000" s="16" t="s">
        <v>5409</v>
      </c>
      <c r="C1000" s="16" t="s">
        <v>5410</v>
      </c>
      <c r="D1000" s="16" t="s">
        <v>22</v>
      </c>
      <c r="E1000" s="16" t="s">
        <v>94</v>
      </c>
      <c r="F1000" s="16" t="s">
        <v>1430</v>
      </c>
      <c r="G1000" s="16" t="s">
        <v>5411</v>
      </c>
      <c r="H1000" s="16" t="s">
        <v>57</v>
      </c>
      <c r="I1000" s="16" t="s">
        <v>32</v>
      </c>
      <c r="J1000" s="16" t="s">
        <v>5412</v>
      </c>
      <c r="K1000" s="16" t="n">
        <v>51.6992263793945</v>
      </c>
      <c r="L1000" s="16" t="n">
        <v>-0.0332066603004932</v>
      </c>
      <c r="M1000" s="16" t="s">
        <v>100</v>
      </c>
      <c r="N1000" s="16"/>
      <c r="O1000" s="16"/>
      <c r="P1000" s="16"/>
      <c r="Q1000" s="16" t="s">
        <v>100</v>
      </c>
    </row>
    <row r="1001" customFormat="false" ht="15" hidden="false" customHeight="false" outlineLevel="0" collapsed="false">
      <c r="A1001" s="16" t="n">
        <v>2027176</v>
      </c>
      <c r="B1001" s="16" t="s">
        <v>5413</v>
      </c>
      <c r="C1001" s="16" t="s">
        <v>5414</v>
      </c>
      <c r="D1001" s="16" t="s">
        <v>23</v>
      </c>
      <c r="E1001" s="16" t="s">
        <v>94</v>
      </c>
      <c r="F1001" s="16" t="s">
        <v>74</v>
      </c>
      <c r="G1001" s="16" t="s">
        <v>551</v>
      </c>
      <c r="H1001" s="16" t="s">
        <v>552</v>
      </c>
      <c r="I1001" s="16" t="s">
        <v>35</v>
      </c>
      <c r="J1001" s="16" t="s">
        <v>5415</v>
      </c>
      <c r="K1001" s="16" t="n">
        <v>53.77197265625</v>
      </c>
      <c r="L1001" s="16" t="n">
        <v>-0.444462656974793</v>
      </c>
      <c r="M1001" s="16" t="s">
        <v>98</v>
      </c>
      <c r="N1001" s="16" t="s">
        <v>5416</v>
      </c>
      <c r="O1001" s="16" t="s">
        <v>3081</v>
      </c>
      <c r="P1001" s="16" t="s">
        <v>3082</v>
      </c>
      <c r="Q1001" s="16" t="s">
        <v>100</v>
      </c>
    </row>
    <row r="1002" customFormat="false" ht="15" hidden="false" customHeight="false" outlineLevel="0" collapsed="false">
      <c r="A1002" s="16" t="n">
        <v>2131250</v>
      </c>
      <c r="B1002" s="16" t="s">
        <v>5417</v>
      </c>
      <c r="C1002" s="16" t="s">
        <v>5418</v>
      </c>
      <c r="D1002" s="16" t="s">
        <v>22</v>
      </c>
      <c r="E1002" s="16" t="s">
        <v>94</v>
      </c>
      <c r="F1002" s="16" t="s">
        <v>2928</v>
      </c>
      <c r="G1002" s="16" t="s">
        <v>5419</v>
      </c>
      <c r="H1002" s="16" t="s">
        <v>2930</v>
      </c>
      <c r="I1002" s="16" t="s">
        <v>37</v>
      </c>
      <c r="J1002" s="16" t="s">
        <v>5420</v>
      </c>
      <c r="K1002" s="16" t="n">
        <v>55.0740699768066</v>
      </c>
      <c r="L1002" s="16" t="n">
        <v>-1.56966912746429</v>
      </c>
      <c r="M1002" s="16" t="s">
        <v>98</v>
      </c>
      <c r="N1002" s="16" t="s">
        <v>2932</v>
      </c>
      <c r="O1002" s="16" t="s">
        <v>2933</v>
      </c>
      <c r="P1002" s="16" t="s">
        <v>5421</v>
      </c>
      <c r="Q1002" s="16" t="s">
        <v>100</v>
      </c>
    </row>
    <row r="1003" customFormat="false" ht="15" hidden="false" customHeight="false" outlineLevel="0" collapsed="false">
      <c r="A1003" s="16" t="n">
        <v>2309255</v>
      </c>
      <c r="B1003" s="16" t="s">
        <v>5422</v>
      </c>
      <c r="C1003" s="16" t="s">
        <v>5423</v>
      </c>
      <c r="D1003" s="16" t="s">
        <v>23</v>
      </c>
      <c r="E1003" s="16" t="s">
        <v>94</v>
      </c>
      <c r="F1003" s="16" t="s">
        <v>4063</v>
      </c>
      <c r="G1003" s="16" t="s">
        <v>324</v>
      </c>
      <c r="H1003" s="16" t="s">
        <v>34</v>
      </c>
      <c r="I1003" s="16" t="s">
        <v>34</v>
      </c>
      <c r="J1003" s="16" t="s">
        <v>5424</v>
      </c>
      <c r="K1003" s="16" t="n">
        <v>52.5586738586426</v>
      </c>
      <c r="L1003" s="16" t="n">
        <v>-2.15917301177979</v>
      </c>
      <c r="M1003" s="16" t="s">
        <v>98</v>
      </c>
      <c r="N1003" s="16" t="s">
        <v>5425</v>
      </c>
      <c r="O1003" s="16"/>
      <c r="P1003" s="16" t="s">
        <v>4066</v>
      </c>
      <c r="Q1003" s="16" t="s">
        <v>100</v>
      </c>
    </row>
    <row r="1004" customFormat="false" ht="15" hidden="false" customHeight="false" outlineLevel="0" collapsed="false">
      <c r="A1004" s="16" t="n">
        <v>2309346</v>
      </c>
      <c r="B1004" s="16" t="s">
        <v>5426</v>
      </c>
      <c r="C1004" s="16" t="s">
        <v>5427</v>
      </c>
      <c r="D1004" s="16" t="s">
        <v>22</v>
      </c>
      <c r="E1004" s="16" t="s">
        <v>94</v>
      </c>
      <c r="F1004" s="16" t="s">
        <v>1866</v>
      </c>
      <c r="G1004" s="16" t="s">
        <v>5428</v>
      </c>
      <c r="H1004" s="16" t="s">
        <v>1034</v>
      </c>
      <c r="I1004" s="16" t="s">
        <v>30</v>
      </c>
      <c r="J1004" s="16" t="s">
        <v>5429</v>
      </c>
      <c r="K1004" s="16" t="n">
        <v>50.3385047912598</v>
      </c>
      <c r="L1004" s="16" t="n">
        <v>-4.63920879364014</v>
      </c>
      <c r="M1004" s="16" t="s">
        <v>100</v>
      </c>
      <c r="N1004" s="16"/>
      <c r="O1004" s="16"/>
      <c r="P1004" s="16"/>
      <c r="Q1004" s="16" t="s">
        <v>100</v>
      </c>
    </row>
    <row r="1005" customFormat="false" ht="15" hidden="false" customHeight="false" outlineLevel="0" collapsed="false">
      <c r="A1005" s="16" t="n">
        <v>2309377</v>
      </c>
      <c r="B1005" s="16" t="s">
        <v>5430</v>
      </c>
      <c r="C1005" s="16" t="s">
        <v>5431</v>
      </c>
      <c r="D1005" s="16" t="s">
        <v>23</v>
      </c>
      <c r="E1005" s="16" t="s">
        <v>94</v>
      </c>
      <c r="F1005" s="16" t="s">
        <v>4614</v>
      </c>
      <c r="G1005" s="16" t="s">
        <v>761</v>
      </c>
      <c r="H1005" s="16" t="s">
        <v>762</v>
      </c>
      <c r="I1005" s="16" t="s">
        <v>35</v>
      </c>
      <c r="J1005" s="16" t="s">
        <v>5432</v>
      </c>
      <c r="K1005" s="16" t="n">
        <v>53.4032440185547</v>
      </c>
      <c r="L1005" s="16" t="n">
        <v>-1.46745109558106</v>
      </c>
      <c r="M1005" s="16" t="s">
        <v>98</v>
      </c>
      <c r="N1005" s="16" t="s">
        <v>5433</v>
      </c>
      <c r="O1005" s="16"/>
      <c r="P1005" s="16"/>
      <c r="Q1005" s="16" t="s">
        <v>100</v>
      </c>
    </row>
    <row r="1006" customFormat="false" ht="15" hidden="false" customHeight="false" outlineLevel="0" collapsed="false">
      <c r="A1006" s="16" t="n">
        <v>2309378</v>
      </c>
      <c r="B1006" s="16" t="s">
        <v>5434</v>
      </c>
      <c r="C1006" s="16" t="s">
        <v>5435</v>
      </c>
      <c r="D1006" s="16" t="s">
        <v>23</v>
      </c>
      <c r="E1006" s="16" t="s">
        <v>94</v>
      </c>
      <c r="F1006" s="16" t="s">
        <v>4614</v>
      </c>
      <c r="G1006" s="16" t="s">
        <v>3718</v>
      </c>
      <c r="H1006" s="16" t="s">
        <v>762</v>
      </c>
      <c r="I1006" s="16" t="s">
        <v>35</v>
      </c>
      <c r="J1006" s="16" t="s">
        <v>5436</v>
      </c>
      <c r="K1006" s="16" t="n">
        <v>53.3614120483398</v>
      </c>
      <c r="L1006" s="16" t="n">
        <v>-1.4975893497467</v>
      </c>
      <c r="M1006" s="16" t="s">
        <v>98</v>
      </c>
      <c r="N1006" s="16"/>
      <c r="O1006" s="16"/>
      <c r="P1006" s="16"/>
      <c r="Q1006" s="16" t="s">
        <v>100</v>
      </c>
    </row>
    <row r="1007" customFormat="false" ht="15" hidden="false" customHeight="false" outlineLevel="0" collapsed="false">
      <c r="A1007" s="16" t="n">
        <v>2309420</v>
      </c>
      <c r="B1007" s="16" t="s">
        <v>5437</v>
      </c>
      <c r="C1007" s="16" t="s">
        <v>5438</v>
      </c>
      <c r="D1007" s="16" t="s">
        <v>22</v>
      </c>
      <c r="E1007" s="16" t="s">
        <v>94</v>
      </c>
      <c r="F1007" s="16" t="s">
        <v>2405</v>
      </c>
      <c r="G1007" s="16" t="s">
        <v>5439</v>
      </c>
      <c r="H1007" s="16" t="s">
        <v>285</v>
      </c>
      <c r="I1007" s="16" t="s">
        <v>34</v>
      </c>
      <c r="J1007" s="16" t="s">
        <v>5440</v>
      </c>
      <c r="K1007" s="16" t="n">
        <v>52.693244934082</v>
      </c>
      <c r="L1007" s="16" t="n">
        <v>-2.03059959411621</v>
      </c>
      <c r="M1007" s="16" t="s">
        <v>98</v>
      </c>
      <c r="N1007" s="16" t="s">
        <v>5441</v>
      </c>
      <c r="O1007" s="16"/>
      <c r="P1007" s="16"/>
      <c r="Q1007" s="16" t="s">
        <v>100</v>
      </c>
    </row>
    <row r="1008" customFormat="false" ht="15" hidden="false" customHeight="false" outlineLevel="0" collapsed="false">
      <c r="A1008" s="16" t="n">
        <v>2489913</v>
      </c>
      <c r="B1008" s="16" t="s">
        <v>5442</v>
      </c>
      <c r="C1008" s="16" t="s">
        <v>5443</v>
      </c>
      <c r="D1008" s="16" t="s">
        <v>23</v>
      </c>
      <c r="E1008" s="16" t="s">
        <v>94</v>
      </c>
      <c r="F1008" s="16" t="s">
        <v>3348</v>
      </c>
      <c r="G1008" s="16" t="s">
        <v>33</v>
      </c>
      <c r="H1008" s="16" t="s">
        <v>44</v>
      </c>
      <c r="I1008" s="16" t="s">
        <v>33</v>
      </c>
      <c r="J1008" s="16" t="s">
        <v>5444</v>
      </c>
      <c r="K1008" s="16" t="n">
        <v>51.5483779907227</v>
      </c>
      <c r="L1008" s="16" t="n">
        <v>-0.0401809401810169</v>
      </c>
      <c r="M1008" s="16" t="s">
        <v>98</v>
      </c>
      <c r="N1008" s="16" t="s">
        <v>5445</v>
      </c>
      <c r="O1008" s="16"/>
      <c r="P1008" s="16"/>
      <c r="Q1008" s="16" t="s">
        <v>100</v>
      </c>
    </row>
    <row r="1009" customFormat="false" ht="15" hidden="false" customHeight="false" outlineLevel="0" collapsed="false">
      <c r="A1009" s="16" t="n">
        <v>2596948</v>
      </c>
      <c r="B1009" s="16" t="s">
        <v>5446</v>
      </c>
      <c r="C1009" s="16" t="s">
        <v>5447</v>
      </c>
      <c r="D1009" s="16" t="s">
        <v>23</v>
      </c>
      <c r="E1009" s="16" t="s">
        <v>94</v>
      </c>
      <c r="F1009" s="16" t="s">
        <v>4518</v>
      </c>
      <c r="G1009" s="16" t="s">
        <v>659</v>
      </c>
      <c r="H1009" s="16" t="s">
        <v>47</v>
      </c>
      <c r="I1009" s="16" t="s">
        <v>31</v>
      </c>
      <c r="J1009" s="16" t="s">
        <v>3234</v>
      </c>
      <c r="K1009" s="16" t="n">
        <v>53.6004257202149</v>
      </c>
      <c r="L1009" s="16" t="n">
        <v>-2.25560784339905</v>
      </c>
      <c r="M1009" s="16" t="s">
        <v>98</v>
      </c>
      <c r="N1009" s="16" t="s">
        <v>5448</v>
      </c>
      <c r="O1009" s="16"/>
      <c r="P1009" s="16" t="s">
        <v>5449</v>
      </c>
      <c r="Q1009" s="16" t="s">
        <v>100</v>
      </c>
    </row>
    <row r="1010" customFormat="false" ht="15" hidden="false" customHeight="false" outlineLevel="0" collapsed="false">
      <c r="A1010" s="16" t="n">
        <v>2704015</v>
      </c>
      <c r="B1010" s="16" t="s">
        <v>5450</v>
      </c>
      <c r="C1010" s="16" t="s">
        <v>5451</v>
      </c>
      <c r="D1010" s="16" t="s">
        <v>23</v>
      </c>
      <c r="E1010" s="16" t="s">
        <v>94</v>
      </c>
      <c r="F1010" s="16" t="s">
        <v>5452</v>
      </c>
      <c r="G1010" s="16" t="s">
        <v>1156</v>
      </c>
      <c r="H1010" s="16" t="s">
        <v>330</v>
      </c>
      <c r="I1010" s="16" t="s">
        <v>29</v>
      </c>
      <c r="J1010" s="16" t="s">
        <v>5453</v>
      </c>
      <c r="K1010" s="16" t="n">
        <v>52.0533409118652</v>
      </c>
      <c r="L1010" s="16" t="n">
        <v>-1.33097910881043</v>
      </c>
      <c r="M1010" s="16" t="s">
        <v>98</v>
      </c>
      <c r="N1010" s="16" t="s">
        <v>5454</v>
      </c>
      <c r="O1010" s="16" t="s">
        <v>5455</v>
      </c>
      <c r="P1010" s="16" t="s">
        <v>5456</v>
      </c>
      <c r="Q1010" s="16" t="s">
        <v>100</v>
      </c>
    </row>
    <row r="1011" customFormat="false" ht="15" hidden="false" customHeight="false" outlineLevel="0" collapsed="false">
      <c r="A1011" s="16" t="n">
        <v>2704214</v>
      </c>
      <c r="B1011" s="16" t="s">
        <v>5457</v>
      </c>
      <c r="C1011" s="16" t="s">
        <v>5458</v>
      </c>
      <c r="D1011" s="16" t="s">
        <v>23</v>
      </c>
      <c r="E1011" s="16" t="s">
        <v>94</v>
      </c>
      <c r="F1011" s="16" t="s">
        <v>5459</v>
      </c>
      <c r="G1011" s="16" t="s">
        <v>116</v>
      </c>
      <c r="H1011" s="16" t="s">
        <v>117</v>
      </c>
      <c r="I1011" s="16" t="s">
        <v>31</v>
      </c>
      <c r="J1011" s="16" t="s">
        <v>5460</v>
      </c>
      <c r="K1011" s="16" t="n">
        <v>53.42431640625</v>
      </c>
      <c r="L1011" s="16" t="n">
        <v>-2.23843240737915</v>
      </c>
      <c r="M1011" s="16" t="s">
        <v>100</v>
      </c>
      <c r="N1011" s="16"/>
      <c r="O1011" s="16"/>
      <c r="P1011" s="16"/>
      <c r="Q1011" s="16" t="s">
        <v>100</v>
      </c>
    </row>
    <row r="1012" customFormat="false" ht="15" hidden="false" customHeight="false" outlineLevel="0" collapsed="false">
      <c r="A1012" s="16" t="n">
        <v>2704221</v>
      </c>
      <c r="B1012" s="16" t="s">
        <v>5461</v>
      </c>
      <c r="C1012" s="16" t="s">
        <v>5462</v>
      </c>
      <c r="D1012" s="16" t="s">
        <v>22</v>
      </c>
      <c r="E1012" s="16" t="s">
        <v>94</v>
      </c>
      <c r="F1012" s="16" t="s">
        <v>66</v>
      </c>
      <c r="G1012" s="16" t="s">
        <v>1792</v>
      </c>
      <c r="H1012" s="16" t="s">
        <v>53</v>
      </c>
      <c r="I1012" s="16" t="s">
        <v>30</v>
      </c>
      <c r="J1012" s="16" t="s">
        <v>1793</v>
      </c>
      <c r="K1012" s="16" t="n">
        <v>50.7416114807129</v>
      </c>
      <c r="L1012" s="16" t="n">
        <v>-2.76991438865662</v>
      </c>
      <c r="M1012" s="16" t="s">
        <v>100</v>
      </c>
      <c r="N1012" s="16"/>
      <c r="O1012" s="16"/>
      <c r="P1012" s="16"/>
      <c r="Q1012" s="16" t="s">
        <v>100</v>
      </c>
    </row>
    <row r="1013" customFormat="false" ht="15" hidden="false" customHeight="false" outlineLevel="0" collapsed="false">
      <c r="A1013" s="16" t="n">
        <v>2704334</v>
      </c>
      <c r="B1013" s="16" t="s">
        <v>5463</v>
      </c>
      <c r="C1013" s="16" t="s">
        <v>5464</v>
      </c>
      <c r="D1013" s="16" t="s">
        <v>23</v>
      </c>
      <c r="E1013" s="16" t="s">
        <v>94</v>
      </c>
      <c r="F1013" s="16" t="s">
        <v>5465</v>
      </c>
      <c r="G1013" s="16" t="s">
        <v>33</v>
      </c>
      <c r="H1013" s="16" t="s">
        <v>44</v>
      </c>
      <c r="I1013" s="16" t="s">
        <v>33</v>
      </c>
      <c r="J1013" s="16" t="s">
        <v>5466</v>
      </c>
      <c r="K1013" s="16" t="n">
        <v>51.6013641357422</v>
      </c>
      <c r="L1013" s="16" t="n">
        <v>-0.0614810101687908</v>
      </c>
      <c r="M1013" s="16" t="s">
        <v>100</v>
      </c>
      <c r="N1013" s="16"/>
      <c r="O1013" s="16"/>
      <c r="P1013" s="16"/>
      <c r="Q1013" s="16" t="s">
        <v>100</v>
      </c>
    </row>
    <row r="1014" customFormat="false" ht="15" hidden="false" customHeight="false" outlineLevel="0" collapsed="false">
      <c r="A1014" s="16" t="n">
        <v>2704335</v>
      </c>
      <c r="B1014" s="16" t="s">
        <v>5467</v>
      </c>
      <c r="C1014" s="16" t="s">
        <v>5468</v>
      </c>
      <c r="D1014" s="16" t="s">
        <v>23</v>
      </c>
      <c r="E1014" s="16" t="s">
        <v>94</v>
      </c>
      <c r="F1014" s="16" t="s">
        <v>5465</v>
      </c>
      <c r="G1014" s="16" t="s">
        <v>33</v>
      </c>
      <c r="H1014" s="16" t="s">
        <v>44</v>
      </c>
      <c r="I1014" s="16" t="s">
        <v>33</v>
      </c>
      <c r="J1014" s="16" t="s">
        <v>5469</v>
      </c>
      <c r="K1014" s="16" t="n">
        <v>51.4841232299805</v>
      </c>
      <c r="L1014" s="16" t="n">
        <v>0.0707325264811515</v>
      </c>
      <c r="M1014" s="16" t="s">
        <v>98</v>
      </c>
      <c r="N1014" s="16"/>
      <c r="O1014" s="16"/>
      <c r="P1014" s="16"/>
      <c r="Q1014" s="16" t="s">
        <v>100</v>
      </c>
    </row>
    <row r="1015" customFormat="false" ht="15" hidden="false" customHeight="false" outlineLevel="0" collapsed="false">
      <c r="A1015" s="16" t="n">
        <v>2917635</v>
      </c>
      <c r="B1015" s="16" t="s">
        <v>5470</v>
      </c>
      <c r="C1015" s="16" t="s">
        <v>5471</v>
      </c>
      <c r="D1015" s="16" t="s">
        <v>22</v>
      </c>
      <c r="E1015" s="16" t="s">
        <v>94</v>
      </c>
      <c r="F1015" s="16" t="s">
        <v>5472</v>
      </c>
      <c r="G1015" s="16" t="s">
        <v>3194</v>
      </c>
      <c r="H1015" s="16" t="s">
        <v>52</v>
      </c>
      <c r="I1015" s="16" t="s">
        <v>31</v>
      </c>
      <c r="J1015" s="16" t="s">
        <v>5473</v>
      </c>
      <c r="K1015" s="16" t="n">
        <v>53.6421279907227</v>
      </c>
      <c r="L1015" s="16" t="n">
        <v>-3.01612758636475</v>
      </c>
      <c r="M1015" s="16" t="s">
        <v>98</v>
      </c>
      <c r="N1015" s="16" t="s">
        <v>5474</v>
      </c>
      <c r="O1015" s="16" t="s">
        <v>5475</v>
      </c>
      <c r="P1015" s="16" t="s">
        <v>5476</v>
      </c>
      <c r="Q1015" s="16" t="s">
        <v>100</v>
      </c>
    </row>
    <row r="1016" customFormat="false" ht="15" hidden="false" customHeight="false" outlineLevel="0" collapsed="false">
      <c r="A1016" s="16" t="n">
        <v>2917651</v>
      </c>
      <c r="B1016" s="16" t="s">
        <v>5477</v>
      </c>
      <c r="C1016" s="16" t="s">
        <v>5478</v>
      </c>
      <c r="D1016" s="16" t="s">
        <v>22</v>
      </c>
      <c r="E1016" s="16" t="s">
        <v>94</v>
      </c>
      <c r="F1016" s="16" t="s">
        <v>5479</v>
      </c>
      <c r="G1016" s="16" t="s">
        <v>627</v>
      </c>
      <c r="H1016" s="16" t="s">
        <v>595</v>
      </c>
      <c r="I1016" s="16" t="s">
        <v>33</v>
      </c>
      <c r="J1016" s="16" t="s">
        <v>5480</v>
      </c>
      <c r="K1016" s="16" t="n">
        <v>51.5754089355469</v>
      </c>
      <c r="L1016" s="16" t="n">
        <v>-0.32202273607254</v>
      </c>
      <c r="M1016" s="16" t="s">
        <v>98</v>
      </c>
      <c r="N1016" s="16" t="s">
        <v>5481</v>
      </c>
      <c r="O1016" s="16" t="s">
        <v>5482</v>
      </c>
      <c r="P1016" s="16" t="s">
        <v>5483</v>
      </c>
      <c r="Q1016" s="16" t="s">
        <v>100</v>
      </c>
    </row>
    <row r="1017" customFormat="false" ht="15" hidden="false" customHeight="false" outlineLevel="0" collapsed="false">
      <c r="A1017" s="16" t="n">
        <v>2917652</v>
      </c>
      <c r="B1017" s="16" t="s">
        <v>5484</v>
      </c>
      <c r="C1017" s="16" t="s">
        <v>5485</v>
      </c>
      <c r="D1017" s="16" t="s">
        <v>22</v>
      </c>
      <c r="E1017" s="16" t="s">
        <v>94</v>
      </c>
      <c r="F1017" s="16" t="s">
        <v>5479</v>
      </c>
      <c r="G1017" s="16" t="s">
        <v>33</v>
      </c>
      <c r="H1017" s="16" t="s">
        <v>44</v>
      </c>
      <c r="I1017" s="16" t="s">
        <v>33</v>
      </c>
      <c r="J1017" s="16" t="s">
        <v>5486</v>
      </c>
      <c r="K1017" s="16" t="n">
        <v>51.5309371948242</v>
      </c>
      <c r="L1017" s="16" t="n">
        <v>-0.269146293401718</v>
      </c>
      <c r="M1017" s="16" t="s">
        <v>98</v>
      </c>
      <c r="N1017" s="16" t="s">
        <v>5487</v>
      </c>
      <c r="O1017" s="16" t="s">
        <v>5482</v>
      </c>
      <c r="P1017" s="16" t="s">
        <v>5483</v>
      </c>
      <c r="Q1017" s="16" t="s">
        <v>100</v>
      </c>
    </row>
    <row r="1018" customFormat="false" ht="15" hidden="false" customHeight="false" outlineLevel="0" collapsed="false">
      <c r="A1018" s="16" t="n">
        <v>2917653</v>
      </c>
      <c r="B1018" s="16" t="s">
        <v>5488</v>
      </c>
      <c r="C1018" s="16" t="s">
        <v>4562</v>
      </c>
      <c r="D1018" s="16" t="s">
        <v>22</v>
      </c>
      <c r="E1018" s="16" t="s">
        <v>94</v>
      </c>
      <c r="F1018" s="16" t="s">
        <v>5479</v>
      </c>
      <c r="G1018" s="16" t="s">
        <v>627</v>
      </c>
      <c r="H1018" s="16" t="s">
        <v>595</v>
      </c>
      <c r="I1018" s="16" t="s">
        <v>33</v>
      </c>
      <c r="J1018" s="16" t="s">
        <v>5480</v>
      </c>
      <c r="K1018" s="16" t="n">
        <v>51.5754089355469</v>
      </c>
      <c r="L1018" s="16" t="n">
        <v>-0.32202273607254</v>
      </c>
      <c r="M1018" s="16" t="s">
        <v>98</v>
      </c>
      <c r="N1018" s="16" t="s">
        <v>5481</v>
      </c>
      <c r="O1018" s="16"/>
      <c r="P1018" s="16" t="s">
        <v>5489</v>
      </c>
      <c r="Q1018" s="16" t="s">
        <v>100</v>
      </c>
    </row>
    <row r="1019" customFormat="false" ht="15" hidden="false" customHeight="false" outlineLevel="0" collapsed="false">
      <c r="A1019" s="16" t="n">
        <v>2917654</v>
      </c>
      <c r="B1019" s="16" t="s">
        <v>5490</v>
      </c>
      <c r="C1019" s="16" t="s">
        <v>5491</v>
      </c>
      <c r="D1019" s="16" t="s">
        <v>22</v>
      </c>
      <c r="E1019" s="16" t="s">
        <v>94</v>
      </c>
      <c r="F1019" s="16" t="s">
        <v>5479</v>
      </c>
      <c r="G1019" s="16" t="s">
        <v>5492</v>
      </c>
      <c r="H1019" s="16" t="s">
        <v>595</v>
      </c>
      <c r="I1019" s="16" t="s">
        <v>33</v>
      </c>
      <c r="J1019" s="16" t="s">
        <v>5493</v>
      </c>
      <c r="K1019" s="16" t="n">
        <v>51.5076065063477</v>
      </c>
      <c r="L1019" s="16" t="n">
        <v>-0.345481127500534</v>
      </c>
      <c r="M1019" s="16" t="s">
        <v>98</v>
      </c>
      <c r="N1019" s="16" t="s">
        <v>5494</v>
      </c>
      <c r="O1019" s="16" t="s">
        <v>5482</v>
      </c>
      <c r="P1019" s="16" t="s">
        <v>5495</v>
      </c>
      <c r="Q1019" s="16" t="s">
        <v>100</v>
      </c>
    </row>
    <row r="1020" customFormat="false" ht="15" hidden="false" customHeight="false" outlineLevel="0" collapsed="false">
      <c r="A1020" s="16" t="n">
        <v>2917659</v>
      </c>
      <c r="B1020" s="16" t="s">
        <v>5496</v>
      </c>
      <c r="C1020" s="16" t="s">
        <v>5497</v>
      </c>
      <c r="D1020" s="16" t="s">
        <v>23</v>
      </c>
      <c r="E1020" s="16" t="s">
        <v>94</v>
      </c>
      <c r="F1020" s="16" t="s">
        <v>5498</v>
      </c>
      <c r="G1020" s="16" t="s">
        <v>768</v>
      </c>
      <c r="H1020" s="16" t="s">
        <v>769</v>
      </c>
      <c r="I1020" s="16" t="s">
        <v>36</v>
      </c>
      <c r="J1020" s="16" t="s">
        <v>5499</v>
      </c>
      <c r="K1020" s="16" t="n">
        <v>52.2360534667969</v>
      </c>
      <c r="L1020" s="16" t="n">
        <v>-0.883829474449158</v>
      </c>
      <c r="M1020" s="16" t="s">
        <v>98</v>
      </c>
      <c r="N1020" s="16" t="s">
        <v>5500</v>
      </c>
      <c r="O1020" s="16"/>
      <c r="P1020" s="16"/>
      <c r="Q1020" s="16" t="s">
        <v>100</v>
      </c>
    </row>
    <row r="1021" customFormat="false" ht="15" hidden="false" customHeight="false" outlineLevel="0" collapsed="false">
      <c r="A1021" s="16" t="n">
        <v>2917660</v>
      </c>
      <c r="B1021" s="16" t="s">
        <v>5501</v>
      </c>
      <c r="C1021" s="16" t="s">
        <v>5502</v>
      </c>
      <c r="D1021" s="16" t="s">
        <v>23</v>
      </c>
      <c r="E1021" s="16" t="s">
        <v>94</v>
      </c>
      <c r="F1021" s="16" t="s">
        <v>3925</v>
      </c>
      <c r="G1021" s="16" t="s">
        <v>686</v>
      </c>
      <c r="H1021" s="16" t="s">
        <v>260</v>
      </c>
      <c r="I1021" s="16" t="s">
        <v>34</v>
      </c>
      <c r="J1021" s="16" t="s">
        <v>5503</v>
      </c>
      <c r="K1021" s="16" t="n">
        <v>52.4224319458008</v>
      </c>
      <c r="L1021" s="16" t="n">
        <v>-1.44553446769714</v>
      </c>
      <c r="M1021" s="16" t="s">
        <v>98</v>
      </c>
      <c r="N1021" s="16" t="s">
        <v>5504</v>
      </c>
      <c r="O1021" s="16"/>
      <c r="P1021" s="16" t="s">
        <v>5505</v>
      </c>
      <c r="Q1021" s="16" t="s">
        <v>100</v>
      </c>
    </row>
    <row r="1022" customFormat="false" ht="15" hidden="false" customHeight="false" outlineLevel="0" collapsed="false">
      <c r="A1022" s="16" t="n">
        <v>2917773</v>
      </c>
      <c r="B1022" s="16" t="s">
        <v>5506</v>
      </c>
      <c r="C1022" s="16" t="s">
        <v>5507</v>
      </c>
      <c r="D1022" s="16" t="s">
        <v>23</v>
      </c>
      <c r="E1022" s="16" t="s">
        <v>94</v>
      </c>
      <c r="F1022" s="16" t="s">
        <v>5508</v>
      </c>
      <c r="G1022" s="16" t="s">
        <v>131</v>
      </c>
      <c r="H1022" s="16" t="s">
        <v>54</v>
      </c>
      <c r="I1022" s="16" t="s">
        <v>35</v>
      </c>
      <c r="J1022" s="16" t="s">
        <v>5509</v>
      </c>
      <c r="K1022" s="16" t="n">
        <v>53.9508247375488</v>
      </c>
      <c r="L1022" s="16" t="n">
        <v>-1.06312048435211</v>
      </c>
      <c r="M1022" s="16" t="s">
        <v>100</v>
      </c>
      <c r="N1022" s="16"/>
      <c r="O1022" s="16"/>
      <c r="P1022" s="16"/>
      <c r="Q1022" s="16" t="s">
        <v>100</v>
      </c>
    </row>
    <row r="1023" customFormat="false" ht="15" hidden="false" customHeight="false" outlineLevel="0" collapsed="false">
      <c r="A1023" s="16" t="n">
        <v>3028092</v>
      </c>
      <c r="B1023" s="16" t="s">
        <v>5510</v>
      </c>
      <c r="C1023" s="16" t="s">
        <v>5511</v>
      </c>
      <c r="D1023" s="16" t="s">
        <v>22</v>
      </c>
      <c r="E1023" s="16" t="s">
        <v>94</v>
      </c>
      <c r="F1023" s="16" t="s">
        <v>1739</v>
      </c>
      <c r="G1023" s="16" t="s">
        <v>509</v>
      </c>
      <c r="H1023" s="16" t="s">
        <v>510</v>
      </c>
      <c r="I1023" s="16" t="s">
        <v>29</v>
      </c>
      <c r="J1023" s="16" t="s">
        <v>5512</v>
      </c>
      <c r="K1023" s="16" t="n">
        <v>51.5320091247559</v>
      </c>
      <c r="L1023" s="16" t="n">
        <v>-0.573977947235107</v>
      </c>
      <c r="M1023" s="16" t="s">
        <v>98</v>
      </c>
      <c r="N1023" s="16" t="s">
        <v>1742</v>
      </c>
      <c r="O1023" s="16"/>
      <c r="P1023" s="16" t="s">
        <v>1743</v>
      </c>
      <c r="Q1023" s="16" t="s">
        <v>100</v>
      </c>
    </row>
    <row r="1024" customFormat="false" ht="15" hidden="false" customHeight="false" outlineLevel="0" collapsed="false">
      <c r="A1024" s="16" t="n">
        <v>3028142</v>
      </c>
      <c r="B1024" s="16" t="s">
        <v>5513</v>
      </c>
      <c r="C1024" s="16" t="s">
        <v>5514</v>
      </c>
      <c r="D1024" s="16" t="s">
        <v>23</v>
      </c>
      <c r="E1024" s="16" t="s">
        <v>94</v>
      </c>
      <c r="F1024" s="16" t="s">
        <v>5515</v>
      </c>
      <c r="G1024" s="16" t="s">
        <v>469</v>
      </c>
      <c r="H1024" s="16" t="s">
        <v>52</v>
      </c>
      <c r="I1024" s="16" t="s">
        <v>31</v>
      </c>
      <c r="J1024" s="16" t="s">
        <v>1515</v>
      </c>
      <c r="K1024" s="16" t="n">
        <v>53.3328895568848</v>
      </c>
      <c r="L1024" s="16" t="n">
        <v>-3.0241219997406</v>
      </c>
      <c r="M1024" s="16" t="s">
        <v>98</v>
      </c>
      <c r="N1024" s="16" t="s">
        <v>5516</v>
      </c>
      <c r="O1024" s="16"/>
      <c r="P1024" s="16" t="s">
        <v>5517</v>
      </c>
      <c r="Q1024" s="16" t="s">
        <v>100</v>
      </c>
    </row>
    <row r="1025" customFormat="false" ht="15" hidden="false" customHeight="false" outlineLevel="0" collapsed="false">
      <c r="A1025" s="16" t="n">
        <v>3028181</v>
      </c>
      <c r="B1025" s="16" t="s">
        <v>5518</v>
      </c>
      <c r="C1025" s="16" t="s">
        <v>5519</v>
      </c>
      <c r="D1025" s="16" t="s">
        <v>22</v>
      </c>
      <c r="E1025" s="16" t="s">
        <v>94</v>
      </c>
      <c r="F1025" s="16" t="s">
        <v>1691</v>
      </c>
      <c r="G1025" s="16" t="s">
        <v>573</v>
      </c>
      <c r="H1025" s="16" t="s">
        <v>56</v>
      </c>
      <c r="I1025" s="16" t="s">
        <v>30</v>
      </c>
      <c r="J1025" s="16" t="s">
        <v>5520</v>
      </c>
      <c r="K1025" s="16" t="n">
        <v>51.3822593688965</v>
      </c>
      <c r="L1025" s="16" t="n">
        <v>-2.36142230033875</v>
      </c>
      <c r="M1025" s="16" t="s">
        <v>98</v>
      </c>
      <c r="N1025" s="16"/>
      <c r="O1025" s="16"/>
      <c r="P1025" s="16"/>
      <c r="Q1025" s="16" t="s">
        <v>100</v>
      </c>
    </row>
    <row r="1026" customFormat="false" ht="15" hidden="false" customHeight="false" outlineLevel="0" collapsed="false">
      <c r="A1026" s="16" t="n">
        <v>3028281</v>
      </c>
      <c r="B1026" s="16" t="s">
        <v>5521</v>
      </c>
      <c r="C1026" s="16" t="s">
        <v>5522</v>
      </c>
      <c r="D1026" s="16" t="s">
        <v>23</v>
      </c>
      <c r="E1026" s="16" t="s">
        <v>94</v>
      </c>
      <c r="F1026" s="16" t="s">
        <v>62</v>
      </c>
      <c r="G1026" s="16" t="s">
        <v>2723</v>
      </c>
      <c r="H1026" s="16" t="s">
        <v>46</v>
      </c>
      <c r="I1026" s="16" t="s">
        <v>29</v>
      </c>
      <c r="J1026" s="16" t="s">
        <v>5523</v>
      </c>
      <c r="K1026" s="16" t="n">
        <v>51.3799209594727</v>
      </c>
      <c r="L1026" s="16" t="n">
        <v>-0.220803648233414</v>
      </c>
      <c r="M1026" s="16" t="s">
        <v>98</v>
      </c>
      <c r="N1026" s="16" t="s">
        <v>5524</v>
      </c>
      <c r="O1026" s="16" t="s">
        <v>5525</v>
      </c>
      <c r="P1026" s="16" t="s">
        <v>5526</v>
      </c>
      <c r="Q1026" s="16" t="s">
        <v>100</v>
      </c>
    </row>
    <row r="1027" customFormat="false" ht="15" hidden="false" customHeight="false" outlineLevel="0" collapsed="false">
      <c r="A1027" s="16" t="n">
        <v>3137672</v>
      </c>
      <c r="B1027" s="16" t="s">
        <v>5527</v>
      </c>
      <c r="C1027" s="16" t="s">
        <v>5528</v>
      </c>
      <c r="D1027" s="16" t="s">
        <v>23</v>
      </c>
      <c r="E1027" s="16" t="s">
        <v>94</v>
      </c>
      <c r="F1027" s="16" t="s">
        <v>2870</v>
      </c>
      <c r="G1027" s="16" t="s">
        <v>5529</v>
      </c>
      <c r="H1027" s="16" t="s">
        <v>157</v>
      </c>
      <c r="I1027" s="16" t="s">
        <v>32</v>
      </c>
      <c r="J1027" s="16" t="s">
        <v>5530</v>
      </c>
      <c r="K1027" s="16" t="n">
        <v>52.4998931884766</v>
      </c>
      <c r="L1027" s="16" t="n">
        <v>0.055862084031105</v>
      </c>
      <c r="M1027" s="16" t="s">
        <v>98</v>
      </c>
      <c r="N1027" s="16" t="s">
        <v>5531</v>
      </c>
      <c r="O1027" s="16"/>
      <c r="P1027" s="16" t="s">
        <v>5532</v>
      </c>
      <c r="Q1027" s="16" t="s">
        <v>100</v>
      </c>
    </row>
    <row r="1028" customFormat="false" ht="15" hidden="false" customHeight="false" outlineLevel="0" collapsed="false">
      <c r="A1028" s="16" t="n">
        <v>3137676</v>
      </c>
      <c r="B1028" s="16" t="s">
        <v>5533</v>
      </c>
      <c r="C1028" s="16" t="s">
        <v>5534</v>
      </c>
      <c r="D1028" s="16" t="s">
        <v>23</v>
      </c>
      <c r="E1028" s="16" t="s">
        <v>94</v>
      </c>
      <c r="F1028" s="16" t="s">
        <v>2870</v>
      </c>
      <c r="G1028" s="16" t="s">
        <v>5535</v>
      </c>
      <c r="H1028" s="16" t="s">
        <v>157</v>
      </c>
      <c r="I1028" s="16" t="s">
        <v>32</v>
      </c>
      <c r="J1028" s="16" t="s">
        <v>5536</v>
      </c>
      <c r="K1028" s="16" t="n">
        <v>52.6649360656738</v>
      </c>
      <c r="L1028" s="16" t="n">
        <v>0.163927912712097</v>
      </c>
      <c r="M1028" s="16" t="s">
        <v>98</v>
      </c>
      <c r="N1028" s="16" t="s">
        <v>5537</v>
      </c>
      <c r="O1028" s="16"/>
      <c r="P1028" s="16" t="s">
        <v>2873</v>
      </c>
      <c r="Q1028" s="16" t="s">
        <v>100</v>
      </c>
    </row>
    <row r="1029" customFormat="false" ht="15" hidden="false" customHeight="false" outlineLevel="0" collapsed="false">
      <c r="A1029" s="16" t="n">
        <v>3137680</v>
      </c>
      <c r="B1029" s="16" t="s">
        <v>5538</v>
      </c>
      <c r="C1029" s="16" t="s">
        <v>5539</v>
      </c>
      <c r="D1029" s="16" t="s">
        <v>23</v>
      </c>
      <c r="E1029" s="16" t="s">
        <v>94</v>
      </c>
      <c r="F1029" s="16" t="s">
        <v>2870</v>
      </c>
      <c r="G1029" s="16" t="s">
        <v>5540</v>
      </c>
      <c r="H1029" s="16" t="s">
        <v>157</v>
      </c>
      <c r="I1029" s="16" t="s">
        <v>32</v>
      </c>
      <c r="J1029" s="16" t="s">
        <v>5541</v>
      </c>
      <c r="K1029" s="16" t="n">
        <v>52.4131278991699</v>
      </c>
      <c r="L1029" s="16" t="n">
        <v>0.275479525327683</v>
      </c>
      <c r="M1029" s="16" t="s">
        <v>98</v>
      </c>
      <c r="N1029" s="16" t="s">
        <v>5542</v>
      </c>
      <c r="O1029" s="16"/>
      <c r="P1029" s="16" t="s">
        <v>5532</v>
      </c>
      <c r="Q1029" s="16" t="s">
        <v>100</v>
      </c>
    </row>
    <row r="1030" customFormat="false" ht="15" hidden="false" customHeight="false" outlineLevel="0" collapsed="false">
      <c r="A1030" s="16" t="n">
        <v>3138301</v>
      </c>
      <c r="B1030" s="16" t="s">
        <v>5543</v>
      </c>
      <c r="C1030" s="16" t="s">
        <v>5544</v>
      </c>
      <c r="D1030" s="16" t="s">
        <v>23</v>
      </c>
      <c r="E1030" s="16" t="s">
        <v>94</v>
      </c>
      <c r="F1030" s="16" t="s">
        <v>2741</v>
      </c>
      <c r="G1030" s="16" t="s">
        <v>49</v>
      </c>
      <c r="H1030" s="16" t="s">
        <v>49</v>
      </c>
      <c r="I1030" s="16" t="s">
        <v>32</v>
      </c>
      <c r="J1030" s="16" t="s">
        <v>5545</v>
      </c>
      <c r="K1030" s="16" t="n">
        <v>51.7042961120606</v>
      </c>
      <c r="L1030" s="16" t="n">
        <v>0.123944759368896</v>
      </c>
      <c r="M1030" s="16" t="s">
        <v>98</v>
      </c>
      <c r="N1030" s="16" t="s">
        <v>5546</v>
      </c>
      <c r="O1030" s="16"/>
      <c r="P1030" s="16"/>
      <c r="Q1030" s="16" t="s">
        <v>100</v>
      </c>
    </row>
    <row r="1031" customFormat="false" ht="15" hidden="false" customHeight="false" outlineLevel="0" collapsed="false">
      <c r="A1031" s="16" t="n">
        <v>3358845</v>
      </c>
      <c r="B1031" s="16" t="s">
        <v>5547</v>
      </c>
      <c r="C1031" s="16" t="s">
        <v>5548</v>
      </c>
      <c r="D1031" s="16" t="s">
        <v>23</v>
      </c>
      <c r="E1031" s="16" t="s">
        <v>4235</v>
      </c>
      <c r="F1031" s="16" t="s">
        <v>5549</v>
      </c>
      <c r="G1031" s="16" t="s">
        <v>994</v>
      </c>
      <c r="H1031" s="16" t="s">
        <v>285</v>
      </c>
      <c r="I1031" s="16" t="s">
        <v>34</v>
      </c>
      <c r="J1031" s="16" t="s">
        <v>5550</v>
      </c>
      <c r="K1031" s="16" t="n">
        <v>52.8106079101563</v>
      </c>
      <c r="L1031" s="16" t="n">
        <v>-2.1206750869751</v>
      </c>
      <c r="M1031" s="16" t="s">
        <v>100</v>
      </c>
      <c r="N1031" s="16"/>
      <c r="O1031" s="16"/>
      <c r="P1031" s="16"/>
      <c r="Q1031" s="16" t="s">
        <v>100</v>
      </c>
    </row>
    <row r="1032" customFormat="false" ht="15" hidden="false" customHeight="false" outlineLevel="0" collapsed="false">
      <c r="A1032" s="16" t="n">
        <v>3469744</v>
      </c>
      <c r="B1032" s="16" t="s">
        <v>5551</v>
      </c>
      <c r="C1032" s="16" t="s">
        <v>5552</v>
      </c>
      <c r="D1032" s="16" t="s">
        <v>22</v>
      </c>
      <c r="E1032" s="16" t="s">
        <v>4235</v>
      </c>
      <c r="F1032" s="16" t="s">
        <v>3457</v>
      </c>
      <c r="G1032" s="16" t="s">
        <v>3031</v>
      </c>
      <c r="H1032" s="16" t="s">
        <v>303</v>
      </c>
      <c r="I1032" s="16" t="s">
        <v>37</v>
      </c>
      <c r="J1032" s="16" t="s">
        <v>5553</v>
      </c>
      <c r="K1032" s="16" t="n">
        <v>54.555721282959</v>
      </c>
      <c r="L1032" s="16" t="n">
        <v>-1.21765172481537</v>
      </c>
      <c r="M1032" s="16" t="s">
        <v>100</v>
      </c>
      <c r="N1032" s="16"/>
      <c r="O1032" s="16"/>
      <c r="P1032" s="16"/>
      <c r="Q1032" s="16" t="s">
        <v>100</v>
      </c>
    </row>
    <row r="1033" customFormat="false" ht="15" hidden="false" customHeight="false" outlineLevel="0" collapsed="false">
      <c r="A1033" s="16" t="n">
        <v>3580194</v>
      </c>
      <c r="B1033" s="16" t="s">
        <v>5554</v>
      </c>
      <c r="C1033" s="16" t="s">
        <v>5555</v>
      </c>
      <c r="D1033" s="16" t="s">
        <v>23</v>
      </c>
      <c r="E1033" s="16" t="s">
        <v>94</v>
      </c>
      <c r="F1033" s="16" t="s">
        <v>3538</v>
      </c>
      <c r="G1033" s="16" t="s">
        <v>2295</v>
      </c>
      <c r="H1033" s="16" t="s">
        <v>814</v>
      </c>
      <c r="I1033" s="16" t="s">
        <v>36</v>
      </c>
      <c r="J1033" s="16" t="s">
        <v>5556</v>
      </c>
      <c r="K1033" s="16" t="n">
        <v>53.5669860839844</v>
      </c>
      <c r="L1033" s="16" t="n">
        <v>-0.638559699058533</v>
      </c>
      <c r="M1033" s="16" t="s">
        <v>98</v>
      </c>
      <c r="N1033" s="16" t="s">
        <v>5557</v>
      </c>
      <c r="O1033" s="16"/>
      <c r="P1033" s="16" t="s">
        <v>5558</v>
      </c>
      <c r="Q1033" s="16" t="s">
        <v>100</v>
      </c>
    </row>
    <row r="1034" customFormat="false" ht="15" hidden="false" customHeight="false" outlineLevel="0" collapsed="false">
      <c r="A1034" s="16" t="n">
        <v>3580196</v>
      </c>
      <c r="B1034" s="16" t="s">
        <v>5559</v>
      </c>
      <c r="C1034" s="16" t="s">
        <v>5560</v>
      </c>
      <c r="D1034" s="16" t="s">
        <v>23</v>
      </c>
      <c r="E1034" s="16" t="s">
        <v>94</v>
      </c>
      <c r="F1034" s="16" t="s">
        <v>3538</v>
      </c>
      <c r="G1034" s="16" t="s">
        <v>5561</v>
      </c>
      <c r="H1034" s="16" t="s">
        <v>762</v>
      </c>
      <c r="I1034" s="16" t="s">
        <v>35</v>
      </c>
      <c r="J1034" s="16" t="s">
        <v>3539</v>
      </c>
      <c r="K1034" s="16" t="n">
        <v>53.494815826416</v>
      </c>
      <c r="L1034" s="16" t="n">
        <v>-1.145960688591</v>
      </c>
      <c r="M1034" s="16" t="s">
        <v>98</v>
      </c>
      <c r="N1034" s="16" t="s">
        <v>5562</v>
      </c>
      <c r="O1034" s="16"/>
      <c r="P1034" s="16" t="s">
        <v>5558</v>
      </c>
      <c r="Q1034" s="16" t="s">
        <v>100</v>
      </c>
    </row>
    <row r="1035" customFormat="false" ht="15" hidden="false" customHeight="false" outlineLevel="0" collapsed="false">
      <c r="A1035" s="16" t="n">
        <v>3664766</v>
      </c>
      <c r="B1035" s="16" t="s">
        <v>5563</v>
      </c>
      <c r="C1035" s="16" t="s">
        <v>5564</v>
      </c>
      <c r="D1035" s="16" t="s">
        <v>23</v>
      </c>
      <c r="E1035" s="16" t="s">
        <v>94</v>
      </c>
      <c r="F1035" s="16" t="s">
        <v>4092</v>
      </c>
      <c r="G1035" s="16" t="s">
        <v>1142</v>
      </c>
      <c r="H1035" s="16" t="s">
        <v>208</v>
      </c>
      <c r="I1035" s="16" t="s">
        <v>30</v>
      </c>
      <c r="J1035" s="16" t="s">
        <v>5565</v>
      </c>
      <c r="K1035" s="16" t="n">
        <v>51.8669662475586</v>
      </c>
      <c r="L1035" s="16" t="n">
        <v>-2.2278790473938</v>
      </c>
      <c r="M1035" s="16" t="s">
        <v>98</v>
      </c>
      <c r="N1035" s="16" t="s">
        <v>5566</v>
      </c>
      <c r="O1035" s="16"/>
      <c r="P1035" s="16" t="s">
        <v>5567</v>
      </c>
      <c r="Q1035" s="16" t="s">
        <v>100</v>
      </c>
    </row>
    <row r="1036" customFormat="false" ht="15" hidden="false" customHeight="false" outlineLevel="0" collapsed="false">
      <c r="A1036" s="16" t="n">
        <v>3664767</v>
      </c>
      <c r="B1036" s="16" t="s">
        <v>5568</v>
      </c>
      <c r="C1036" s="16" t="s">
        <v>5569</v>
      </c>
      <c r="D1036" s="16" t="s">
        <v>23</v>
      </c>
      <c r="E1036" s="16" t="s">
        <v>94</v>
      </c>
      <c r="F1036" s="16" t="s">
        <v>4092</v>
      </c>
      <c r="G1036" s="16" t="s">
        <v>3718</v>
      </c>
      <c r="H1036" s="16" t="s">
        <v>208</v>
      </c>
      <c r="I1036" s="16" t="s">
        <v>30</v>
      </c>
      <c r="J1036" s="16" t="s">
        <v>5570</v>
      </c>
      <c r="K1036" s="16" t="n">
        <v>51.7464027404785</v>
      </c>
      <c r="L1036" s="16" t="n">
        <v>-2.24766516685486</v>
      </c>
      <c r="M1036" s="16" t="s">
        <v>98</v>
      </c>
      <c r="N1036" s="16"/>
      <c r="O1036" s="16"/>
      <c r="P1036" s="16"/>
      <c r="Q1036" s="16" t="s">
        <v>100</v>
      </c>
    </row>
    <row r="1037" customFormat="false" ht="15" hidden="false" customHeight="false" outlineLevel="0" collapsed="false">
      <c r="A1037" s="16" t="n">
        <v>3664772</v>
      </c>
      <c r="B1037" s="16" t="s">
        <v>5571</v>
      </c>
      <c r="C1037" s="16" t="s">
        <v>5572</v>
      </c>
      <c r="D1037" s="16" t="s">
        <v>23</v>
      </c>
      <c r="E1037" s="16" t="s">
        <v>94</v>
      </c>
      <c r="F1037" s="16" t="s">
        <v>4092</v>
      </c>
      <c r="G1037" s="16" t="s">
        <v>3718</v>
      </c>
      <c r="H1037" s="16" t="s">
        <v>208</v>
      </c>
      <c r="I1037" s="16" t="s">
        <v>30</v>
      </c>
      <c r="J1037" s="16" t="s">
        <v>5573</v>
      </c>
      <c r="K1037" s="16" t="n">
        <v>51.8810539245606</v>
      </c>
      <c r="L1037" s="16" t="n">
        <v>-2.07366681098938</v>
      </c>
      <c r="M1037" s="16" t="s">
        <v>98</v>
      </c>
      <c r="N1037" s="16"/>
      <c r="O1037" s="16"/>
      <c r="P1037" s="16"/>
      <c r="Q1037" s="16" t="s">
        <v>100</v>
      </c>
    </row>
    <row r="1038" customFormat="false" ht="15" hidden="false" customHeight="false" outlineLevel="0" collapsed="false">
      <c r="A1038" s="16" t="n">
        <v>3664773</v>
      </c>
      <c r="B1038" s="16" t="s">
        <v>5574</v>
      </c>
      <c r="C1038" s="16" t="s">
        <v>5575</v>
      </c>
      <c r="D1038" s="16" t="s">
        <v>23</v>
      </c>
      <c r="E1038" s="16" t="s">
        <v>94</v>
      </c>
      <c r="F1038" s="16" t="s">
        <v>4092</v>
      </c>
      <c r="G1038" s="16" t="s">
        <v>3718</v>
      </c>
      <c r="H1038" s="16" t="s">
        <v>208</v>
      </c>
      <c r="I1038" s="16" t="s">
        <v>30</v>
      </c>
      <c r="J1038" s="16" t="s">
        <v>5576</v>
      </c>
      <c r="K1038" s="16" t="n">
        <v>51.9070587158203</v>
      </c>
      <c r="L1038" s="16" t="n">
        <v>-2.08293986320496</v>
      </c>
      <c r="M1038" s="16" t="s">
        <v>98</v>
      </c>
      <c r="N1038" s="16"/>
      <c r="O1038" s="16"/>
      <c r="P1038" s="16"/>
      <c r="Q1038" s="16" t="s">
        <v>100</v>
      </c>
    </row>
    <row r="1039" customFormat="false" ht="15" hidden="false" customHeight="false" outlineLevel="0" collapsed="false">
      <c r="A1039" s="16" t="n">
        <v>3664780</v>
      </c>
      <c r="B1039" s="16" t="s">
        <v>5577</v>
      </c>
      <c r="C1039" s="16" t="s">
        <v>5578</v>
      </c>
      <c r="D1039" s="16" t="s">
        <v>23</v>
      </c>
      <c r="E1039" s="16" t="s">
        <v>94</v>
      </c>
      <c r="F1039" s="16" t="s">
        <v>4092</v>
      </c>
      <c r="G1039" s="16" t="s">
        <v>3718</v>
      </c>
      <c r="H1039" s="16" t="s">
        <v>247</v>
      </c>
      <c r="I1039" s="16" t="s">
        <v>34</v>
      </c>
      <c r="J1039" s="16" t="s">
        <v>5579</v>
      </c>
      <c r="K1039" s="16" t="n">
        <v>52.0536117553711</v>
      </c>
      <c r="L1039" s="16" t="n">
        <v>-2.72315621376038</v>
      </c>
      <c r="M1039" s="16" t="s">
        <v>98</v>
      </c>
      <c r="N1039" s="16"/>
      <c r="O1039" s="16"/>
      <c r="P1039" s="16"/>
      <c r="Q1039" s="16" t="s">
        <v>100</v>
      </c>
    </row>
    <row r="1040" customFormat="false" ht="15" hidden="false" customHeight="false" outlineLevel="0" collapsed="false">
      <c r="A1040" s="16" t="n">
        <v>3664840</v>
      </c>
      <c r="B1040" s="16" t="s">
        <v>5580</v>
      </c>
      <c r="C1040" s="16" t="s">
        <v>5581</v>
      </c>
      <c r="D1040" s="16" t="s">
        <v>22</v>
      </c>
      <c r="E1040" s="16" t="s">
        <v>4235</v>
      </c>
      <c r="F1040" s="16" t="s">
        <v>2257</v>
      </c>
      <c r="G1040" s="16" t="s">
        <v>2258</v>
      </c>
      <c r="H1040" s="16" t="s">
        <v>260</v>
      </c>
      <c r="I1040" s="16" t="s">
        <v>34</v>
      </c>
      <c r="J1040" s="16" t="s">
        <v>5582</v>
      </c>
      <c r="K1040" s="16" t="n">
        <v>52.2685585021973</v>
      </c>
      <c r="L1040" s="16" t="n">
        <v>-1.5403915643692</v>
      </c>
      <c r="M1040" s="16" t="s">
        <v>98</v>
      </c>
      <c r="N1040" s="16" t="s">
        <v>5583</v>
      </c>
      <c r="O1040" s="16"/>
      <c r="P1040" s="16"/>
      <c r="Q1040" s="16" t="s">
        <v>100</v>
      </c>
    </row>
    <row r="1041" customFormat="false" ht="15" hidden="false" customHeight="false" outlineLevel="0" collapsed="false">
      <c r="A1041" s="16" t="n">
        <v>3774885</v>
      </c>
      <c r="B1041" s="16" t="s">
        <v>5584</v>
      </c>
      <c r="C1041" s="16" t="s">
        <v>5585</v>
      </c>
      <c r="D1041" s="16" t="s">
        <v>23</v>
      </c>
      <c r="E1041" s="16" t="s">
        <v>4235</v>
      </c>
      <c r="F1041" s="16" t="s">
        <v>5586</v>
      </c>
      <c r="G1041" s="16" t="s">
        <v>2568</v>
      </c>
      <c r="H1041" s="16" t="s">
        <v>34</v>
      </c>
      <c r="I1041" s="16" t="s">
        <v>34</v>
      </c>
      <c r="J1041" s="16" t="s">
        <v>2569</v>
      </c>
      <c r="K1041" s="16" t="n">
        <v>52.5029487609863</v>
      </c>
      <c r="L1041" s="16" t="n">
        <v>-2.11850309371948</v>
      </c>
      <c r="M1041" s="16" t="s">
        <v>100</v>
      </c>
      <c r="N1041" s="16"/>
      <c r="O1041" s="16"/>
      <c r="P1041" s="16"/>
      <c r="Q1041" s="16" t="s">
        <v>100</v>
      </c>
    </row>
    <row r="1042" customFormat="false" ht="15" hidden="false" customHeight="false" outlineLevel="0" collapsed="false">
      <c r="A1042" s="16" t="n">
        <v>3774995</v>
      </c>
      <c r="B1042" s="16" t="s">
        <v>5587</v>
      </c>
      <c r="C1042" s="16" t="s">
        <v>5588</v>
      </c>
      <c r="D1042" s="16" t="s">
        <v>23</v>
      </c>
      <c r="E1042" s="16" t="s">
        <v>94</v>
      </c>
      <c r="F1042" s="16" t="s">
        <v>72</v>
      </c>
      <c r="G1042" s="16" t="s">
        <v>5589</v>
      </c>
      <c r="H1042" s="16" t="s">
        <v>254</v>
      </c>
      <c r="I1042" s="16" t="s">
        <v>32</v>
      </c>
      <c r="J1042" s="16" t="s">
        <v>5590</v>
      </c>
      <c r="K1042" s="16" t="n">
        <v>52.4974899291992</v>
      </c>
      <c r="L1042" s="16" t="n">
        <v>1.71862864494324</v>
      </c>
      <c r="M1042" s="16" t="s">
        <v>98</v>
      </c>
      <c r="N1042" s="16" t="s">
        <v>5591</v>
      </c>
      <c r="O1042" s="16"/>
      <c r="P1042" s="16" t="s">
        <v>2499</v>
      </c>
      <c r="Q1042" s="16" t="s">
        <v>100</v>
      </c>
    </row>
    <row r="1043" customFormat="false" ht="15" hidden="false" customHeight="false" outlineLevel="0" collapsed="false">
      <c r="A1043" s="16" t="n">
        <v>3775034</v>
      </c>
      <c r="B1043" s="16" t="s">
        <v>5592</v>
      </c>
      <c r="C1043" s="16" t="s">
        <v>5593</v>
      </c>
      <c r="D1043" s="16" t="s">
        <v>23</v>
      </c>
      <c r="E1043" s="16" t="s">
        <v>94</v>
      </c>
      <c r="F1043" s="16" t="s">
        <v>72</v>
      </c>
      <c r="G1043" s="16" t="s">
        <v>253</v>
      </c>
      <c r="H1043" s="16" t="s">
        <v>254</v>
      </c>
      <c r="I1043" s="16" t="s">
        <v>32</v>
      </c>
      <c r="J1043" s="16" t="s">
        <v>5594</v>
      </c>
      <c r="K1043" s="16" t="n">
        <v>52.0527191162109</v>
      </c>
      <c r="L1043" s="16" t="n">
        <v>1.19687569141388</v>
      </c>
      <c r="M1043" s="16" t="s">
        <v>98</v>
      </c>
      <c r="N1043" s="16" t="s">
        <v>5595</v>
      </c>
      <c r="O1043" s="16"/>
      <c r="P1043" s="16" t="s">
        <v>2499</v>
      </c>
      <c r="Q1043" s="16" t="s">
        <v>100</v>
      </c>
    </row>
    <row r="1044" customFormat="false" ht="15" hidden="false" customHeight="false" outlineLevel="0" collapsed="false">
      <c r="A1044" s="16" t="n">
        <v>3775035</v>
      </c>
      <c r="B1044" s="16" t="s">
        <v>5596</v>
      </c>
      <c r="C1044" s="16" t="s">
        <v>5597</v>
      </c>
      <c r="D1044" s="16" t="s">
        <v>23</v>
      </c>
      <c r="E1044" s="16" t="s">
        <v>94</v>
      </c>
      <c r="F1044" s="16" t="s">
        <v>72</v>
      </c>
      <c r="G1044" s="16" t="s">
        <v>5598</v>
      </c>
      <c r="H1044" s="16" t="s">
        <v>429</v>
      </c>
      <c r="I1044" s="16" t="s">
        <v>32</v>
      </c>
      <c r="J1044" s="16" t="s">
        <v>5599</v>
      </c>
      <c r="K1044" s="16" t="n">
        <v>52.5729827880859</v>
      </c>
      <c r="L1044" s="16" t="n">
        <v>1.71690046787262</v>
      </c>
      <c r="M1044" s="16" t="s">
        <v>98</v>
      </c>
      <c r="N1044" s="16" t="s">
        <v>5600</v>
      </c>
      <c r="O1044" s="16"/>
      <c r="P1044" s="16" t="s">
        <v>2499</v>
      </c>
      <c r="Q1044" s="16" t="s">
        <v>100</v>
      </c>
    </row>
    <row r="1045" customFormat="false" ht="15" hidden="false" customHeight="false" outlineLevel="0" collapsed="false">
      <c r="A1045" s="16" t="n">
        <v>3775074</v>
      </c>
      <c r="B1045" s="16" t="s">
        <v>5601</v>
      </c>
      <c r="C1045" s="16" t="s">
        <v>5602</v>
      </c>
      <c r="D1045" s="16" t="s">
        <v>22</v>
      </c>
      <c r="E1045" s="16" t="s">
        <v>4235</v>
      </c>
      <c r="F1045" s="16" t="s">
        <v>2696</v>
      </c>
      <c r="G1045" s="16" t="s">
        <v>33</v>
      </c>
      <c r="H1045" s="16" t="s">
        <v>44</v>
      </c>
      <c r="I1045" s="16" t="s">
        <v>33</v>
      </c>
      <c r="J1045" s="16" t="s">
        <v>5603</v>
      </c>
      <c r="K1045" s="16" t="n">
        <v>51.4499473571777</v>
      </c>
      <c r="L1045" s="16" t="n">
        <v>0.0537280477583408</v>
      </c>
      <c r="M1045" s="16" t="s">
        <v>98</v>
      </c>
      <c r="N1045" s="16" t="s">
        <v>5604</v>
      </c>
      <c r="O1045" s="16"/>
      <c r="P1045" s="16"/>
      <c r="Q1045" s="16" t="s">
        <v>100</v>
      </c>
    </row>
    <row r="1046" customFormat="false" ht="15" hidden="false" customHeight="false" outlineLevel="0" collapsed="false">
      <c r="A1046" s="16" t="n">
        <v>3775218</v>
      </c>
      <c r="B1046" s="16" t="s">
        <v>5605</v>
      </c>
      <c r="C1046" s="16" t="s">
        <v>5606</v>
      </c>
      <c r="D1046" s="16" t="s">
        <v>22</v>
      </c>
      <c r="E1046" s="16" t="s">
        <v>4235</v>
      </c>
      <c r="F1046" s="16" t="s">
        <v>70</v>
      </c>
      <c r="G1046" s="16" t="s">
        <v>5607</v>
      </c>
      <c r="H1046" s="16" t="s">
        <v>48</v>
      </c>
      <c r="I1046" s="16" t="s">
        <v>30</v>
      </c>
      <c r="J1046" s="16" t="s">
        <v>5608</v>
      </c>
      <c r="K1046" s="16" t="n">
        <v>50.6315956115723</v>
      </c>
      <c r="L1046" s="16" t="n">
        <v>-3.32050585746765</v>
      </c>
      <c r="M1046" s="16" t="s">
        <v>100</v>
      </c>
      <c r="N1046" s="16"/>
      <c r="O1046" s="16"/>
      <c r="P1046" s="16"/>
      <c r="Q1046" s="16" t="s">
        <v>100</v>
      </c>
    </row>
    <row r="1047" customFormat="false" ht="15" hidden="false" customHeight="false" outlineLevel="0" collapsed="false">
      <c r="A1047" s="16" t="n">
        <v>3775539</v>
      </c>
      <c r="B1047" s="16" t="s">
        <v>5609</v>
      </c>
      <c r="C1047" s="16" t="s">
        <v>5610</v>
      </c>
      <c r="D1047" s="16" t="s">
        <v>23</v>
      </c>
      <c r="E1047" s="16" t="s">
        <v>94</v>
      </c>
      <c r="F1047" s="16" t="s">
        <v>65</v>
      </c>
      <c r="G1047" s="16" t="s">
        <v>309</v>
      </c>
      <c r="H1047" s="16" t="s">
        <v>310</v>
      </c>
      <c r="I1047" s="16" t="s">
        <v>30</v>
      </c>
      <c r="J1047" s="16" t="s">
        <v>5611</v>
      </c>
      <c r="K1047" s="16" t="n">
        <v>50.9891090393066</v>
      </c>
      <c r="L1047" s="16" t="n">
        <v>-3.07758164405823</v>
      </c>
      <c r="M1047" s="16" t="s">
        <v>98</v>
      </c>
      <c r="N1047" s="16" t="s">
        <v>5612</v>
      </c>
      <c r="O1047" s="16"/>
      <c r="P1047" s="16" t="s">
        <v>5613</v>
      </c>
      <c r="Q1047" s="16" t="s">
        <v>100</v>
      </c>
    </row>
    <row r="1048" customFormat="false" ht="15" hidden="false" customHeight="false" outlineLevel="0" collapsed="false">
      <c r="A1048" s="16" t="n">
        <v>3995215</v>
      </c>
      <c r="B1048" s="16" t="s">
        <v>5614</v>
      </c>
      <c r="C1048" s="16" t="s">
        <v>5615</v>
      </c>
      <c r="D1048" s="16" t="s">
        <v>22</v>
      </c>
      <c r="E1048" s="16" t="s">
        <v>4235</v>
      </c>
      <c r="F1048" s="16" t="s">
        <v>5479</v>
      </c>
      <c r="G1048" s="16" t="s">
        <v>33</v>
      </c>
      <c r="H1048" s="16" t="s">
        <v>44</v>
      </c>
      <c r="I1048" s="16" t="s">
        <v>33</v>
      </c>
      <c r="J1048" s="16" t="s">
        <v>5616</v>
      </c>
      <c r="K1048" s="16" t="n">
        <v>51.4950866699219</v>
      </c>
      <c r="L1048" s="16" t="n">
        <v>-0.2988700568676</v>
      </c>
      <c r="M1048" s="16" t="s">
        <v>98</v>
      </c>
      <c r="N1048" s="16" t="s">
        <v>5617</v>
      </c>
      <c r="O1048" s="16"/>
      <c r="P1048" s="16" t="s">
        <v>5618</v>
      </c>
      <c r="Q1048" s="16" t="s">
        <v>100</v>
      </c>
    </row>
    <row r="1049" customFormat="false" ht="15" hidden="false" customHeight="false" outlineLevel="0" collapsed="false">
      <c r="A1049" s="16" t="n">
        <v>4105540</v>
      </c>
      <c r="B1049" s="16" t="s">
        <v>5619</v>
      </c>
      <c r="C1049" s="16" t="s">
        <v>5620</v>
      </c>
      <c r="D1049" s="16" t="s">
        <v>23</v>
      </c>
      <c r="E1049" s="16" t="s">
        <v>4235</v>
      </c>
      <c r="F1049" s="16" t="s">
        <v>5621</v>
      </c>
      <c r="G1049" s="16" t="s">
        <v>5622</v>
      </c>
      <c r="H1049" s="16" t="s">
        <v>220</v>
      </c>
      <c r="I1049" s="16" t="s">
        <v>36</v>
      </c>
      <c r="J1049" s="16" t="s">
        <v>5623</v>
      </c>
      <c r="K1049" s="16" t="n">
        <v>53.0128631591797</v>
      </c>
      <c r="L1049" s="16" t="n">
        <v>-1.73757445812225</v>
      </c>
      <c r="M1049" s="16" t="s">
        <v>98</v>
      </c>
      <c r="N1049" s="16"/>
      <c r="O1049" s="16"/>
      <c r="P1049" s="16"/>
      <c r="Q1049" s="16" t="s">
        <v>100</v>
      </c>
    </row>
    <row r="1050" customFormat="false" ht="15" hidden="false" customHeight="false" outlineLevel="0" collapsed="false">
      <c r="A1050" s="16" t="n">
        <v>4209586</v>
      </c>
      <c r="B1050" s="16" t="s">
        <v>5624</v>
      </c>
      <c r="C1050" s="16" t="s">
        <v>5625</v>
      </c>
      <c r="D1050" s="16" t="s">
        <v>23</v>
      </c>
      <c r="E1050" s="16" t="s">
        <v>94</v>
      </c>
      <c r="F1050" s="16" t="s">
        <v>3372</v>
      </c>
      <c r="G1050" s="16" t="s">
        <v>1370</v>
      </c>
      <c r="H1050" s="16" t="s">
        <v>48</v>
      </c>
      <c r="I1050" s="16" t="s">
        <v>30</v>
      </c>
      <c r="J1050" s="16" t="s">
        <v>5626</v>
      </c>
      <c r="K1050" s="16" t="n">
        <v>50.5996742248535</v>
      </c>
      <c r="L1050" s="16" t="n">
        <v>-3.46816444396973</v>
      </c>
      <c r="M1050" s="16" t="s">
        <v>98</v>
      </c>
      <c r="N1050" s="16" t="s">
        <v>5627</v>
      </c>
      <c r="O1050" s="16"/>
      <c r="P1050" s="16" t="s">
        <v>3376</v>
      </c>
      <c r="Q1050" s="16" t="s">
        <v>100</v>
      </c>
    </row>
    <row r="1051" customFormat="false" ht="15" hidden="false" customHeight="false" outlineLevel="0" collapsed="false">
      <c r="A1051" s="16" t="n">
        <v>4209620</v>
      </c>
      <c r="B1051" s="16" t="s">
        <v>5628</v>
      </c>
      <c r="C1051" s="16" t="s">
        <v>5629</v>
      </c>
      <c r="D1051" s="16" t="s">
        <v>22</v>
      </c>
      <c r="E1051" s="16" t="s">
        <v>4235</v>
      </c>
      <c r="F1051" s="16" t="s">
        <v>2604</v>
      </c>
      <c r="G1051" s="16" t="s">
        <v>5398</v>
      </c>
      <c r="H1051" s="16" t="s">
        <v>273</v>
      </c>
      <c r="I1051" s="16" t="s">
        <v>36</v>
      </c>
      <c r="J1051" s="16" t="s">
        <v>5630</v>
      </c>
      <c r="K1051" s="16" t="n">
        <v>52.4773139953613</v>
      </c>
      <c r="L1051" s="16" t="n">
        <v>-0.927163541316986</v>
      </c>
      <c r="M1051" s="16" t="s">
        <v>100</v>
      </c>
      <c r="N1051" s="16"/>
      <c r="O1051" s="16"/>
      <c r="P1051" s="16"/>
      <c r="Q1051" s="16" t="s">
        <v>100</v>
      </c>
    </row>
    <row r="1052" customFormat="false" ht="15" hidden="false" customHeight="false" outlineLevel="0" collapsed="false">
      <c r="A1052" s="16" t="n">
        <v>4210128</v>
      </c>
      <c r="B1052" s="16" t="s">
        <v>5631</v>
      </c>
      <c r="C1052" s="16" t="s">
        <v>5632</v>
      </c>
      <c r="D1052" s="16" t="s">
        <v>23</v>
      </c>
      <c r="E1052" s="16" t="s">
        <v>4235</v>
      </c>
      <c r="F1052" s="16" t="s">
        <v>5076</v>
      </c>
      <c r="G1052" s="16" t="s">
        <v>495</v>
      </c>
      <c r="H1052" s="16" t="s">
        <v>52</v>
      </c>
      <c r="I1052" s="16" t="s">
        <v>31</v>
      </c>
      <c r="J1052" s="16" t="s">
        <v>5633</v>
      </c>
      <c r="K1052" s="16" t="n">
        <v>53.4101638793945</v>
      </c>
      <c r="L1052" s="16" t="n">
        <v>-2.99378371238709</v>
      </c>
      <c r="M1052" s="16" t="s">
        <v>100</v>
      </c>
      <c r="N1052" s="16"/>
      <c r="O1052" s="16"/>
      <c r="P1052" s="16"/>
      <c r="Q1052" s="16" t="s">
        <v>100</v>
      </c>
    </row>
    <row r="1053" customFormat="false" ht="15" hidden="false" customHeight="false" outlineLevel="0" collapsed="false">
      <c r="A1053" s="16" t="n">
        <v>4210137</v>
      </c>
      <c r="B1053" s="16" t="s">
        <v>5634</v>
      </c>
      <c r="C1053" s="16" t="s">
        <v>5632</v>
      </c>
      <c r="D1053" s="16" t="s">
        <v>23</v>
      </c>
      <c r="E1053" s="16" t="s">
        <v>4235</v>
      </c>
      <c r="F1053" s="16" t="s">
        <v>5076</v>
      </c>
      <c r="G1053" s="16" t="s">
        <v>4593</v>
      </c>
      <c r="H1053" s="16" t="s">
        <v>52</v>
      </c>
      <c r="I1053" s="16" t="s">
        <v>31</v>
      </c>
      <c r="J1053" s="16" t="s">
        <v>5635</v>
      </c>
      <c r="K1053" s="16" t="n">
        <v>53.4571762084961</v>
      </c>
      <c r="L1053" s="16" t="n">
        <v>-2.63837170600891</v>
      </c>
      <c r="M1053" s="16" t="s">
        <v>100</v>
      </c>
      <c r="N1053" s="16"/>
      <c r="O1053" s="16"/>
      <c r="P1053" s="16"/>
      <c r="Q1053" s="16" t="s">
        <v>100</v>
      </c>
    </row>
    <row r="1054" customFormat="false" ht="15" hidden="false" customHeight="false" outlineLevel="0" collapsed="false">
      <c r="A1054" s="16" t="n">
        <v>4317678</v>
      </c>
      <c r="B1054" s="16" t="s">
        <v>5636</v>
      </c>
      <c r="C1054" s="16" t="s">
        <v>5637</v>
      </c>
      <c r="D1054" s="16" t="s">
        <v>22</v>
      </c>
      <c r="E1054" s="16" t="s">
        <v>4235</v>
      </c>
      <c r="F1054" s="16" t="s">
        <v>2888</v>
      </c>
      <c r="G1054" s="16" t="s">
        <v>5419</v>
      </c>
      <c r="H1054" s="16" t="s">
        <v>2930</v>
      </c>
      <c r="I1054" s="16" t="s">
        <v>37</v>
      </c>
      <c r="J1054" s="16" t="s">
        <v>5638</v>
      </c>
      <c r="K1054" s="16" t="n">
        <v>55.0854835510254</v>
      </c>
      <c r="L1054" s="16" t="n">
        <v>-1.5900331735611</v>
      </c>
      <c r="M1054" s="16" t="s">
        <v>100</v>
      </c>
      <c r="N1054" s="16"/>
      <c r="O1054" s="16"/>
      <c r="P1054" s="16"/>
      <c r="Q1054" s="16" t="s">
        <v>100</v>
      </c>
    </row>
    <row r="1055" customFormat="false" ht="15" hidden="false" customHeight="false" outlineLevel="0" collapsed="false">
      <c r="A1055" s="16" t="n">
        <v>4621799</v>
      </c>
      <c r="B1055" s="16" t="s">
        <v>5639</v>
      </c>
      <c r="C1055" s="16" t="s">
        <v>5640</v>
      </c>
      <c r="D1055" s="16" t="s">
        <v>23</v>
      </c>
      <c r="E1055" s="16" t="s">
        <v>4235</v>
      </c>
      <c r="F1055" s="16" t="s">
        <v>5641</v>
      </c>
      <c r="G1055" s="16" t="s">
        <v>2220</v>
      </c>
      <c r="H1055" s="16" t="s">
        <v>1034</v>
      </c>
      <c r="I1055" s="16" t="s">
        <v>30</v>
      </c>
      <c r="J1055" s="16" t="s">
        <v>5642</v>
      </c>
      <c r="K1055" s="16" t="n">
        <v>50.3285751342773</v>
      </c>
      <c r="L1055" s="16" t="n">
        <v>-4.77208089828491</v>
      </c>
      <c r="M1055" s="16" t="s">
        <v>100</v>
      </c>
      <c r="N1055" s="16"/>
      <c r="O1055" s="16"/>
      <c r="P1055" s="16"/>
      <c r="Q1055" s="16" t="s">
        <v>100</v>
      </c>
    </row>
    <row r="1056" customFormat="false" ht="15" hidden="false" customHeight="false" outlineLevel="0" collapsed="false">
      <c r="A1056" s="16" t="n">
        <v>4621800</v>
      </c>
      <c r="B1056" s="16" t="s">
        <v>5643</v>
      </c>
      <c r="C1056" s="16" t="s">
        <v>5644</v>
      </c>
      <c r="D1056" s="16" t="s">
        <v>23</v>
      </c>
      <c r="E1056" s="16" t="s">
        <v>4235</v>
      </c>
      <c r="F1056" s="16" t="s">
        <v>5641</v>
      </c>
      <c r="G1056" s="16" t="s">
        <v>1873</v>
      </c>
      <c r="H1056" s="16" t="s">
        <v>1034</v>
      </c>
      <c r="I1056" s="16" t="s">
        <v>30</v>
      </c>
      <c r="J1056" s="16" t="s">
        <v>5645</v>
      </c>
      <c r="K1056" s="16" t="n">
        <v>50.1814575195313</v>
      </c>
      <c r="L1056" s="16" t="n">
        <v>-5.42320060729981</v>
      </c>
      <c r="M1056" s="16" t="s">
        <v>100</v>
      </c>
      <c r="N1056" s="16"/>
      <c r="O1056" s="16"/>
      <c r="P1056" s="16"/>
      <c r="Q1056" s="16" t="s">
        <v>100</v>
      </c>
    </row>
    <row r="1057" customFormat="false" ht="15" hidden="false" customHeight="false" outlineLevel="0" collapsed="false">
      <c r="A1057" s="16" t="n">
        <v>4621851</v>
      </c>
      <c r="B1057" s="16" t="s">
        <v>5646</v>
      </c>
      <c r="C1057" s="16" t="s">
        <v>5647</v>
      </c>
      <c r="D1057" s="16" t="s">
        <v>23</v>
      </c>
      <c r="E1057" s="16" t="s">
        <v>4235</v>
      </c>
      <c r="F1057" s="16" t="s">
        <v>123</v>
      </c>
      <c r="G1057" s="16" t="s">
        <v>3341</v>
      </c>
      <c r="H1057" s="16" t="s">
        <v>55</v>
      </c>
      <c r="I1057" s="16" t="s">
        <v>31</v>
      </c>
      <c r="J1057" s="16" t="s">
        <v>5648</v>
      </c>
      <c r="K1057" s="16" t="n">
        <v>53.4186477661133</v>
      </c>
      <c r="L1057" s="16" t="n">
        <v>-2.08267092704773</v>
      </c>
      <c r="M1057" s="16" t="s">
        <v>100</v>
      </c>
      <c r="N1057" s="16"/>
      <c r="O1057" s="16"/>
      <c r="P1057" s="16"/>
      <c r="Q1057" s="16" t="s">
        <v>100</v>
      </c>
    </row>
    <row r="1058" customFormat="false" ht="15" hidden="false" customHeight="false" outlineLevel="0" collapsed="false">
      <c r="A1058" s="16" t="n">
        <v>4621852</v>
      </c>
      <c r="B1058" s="16" t="s">
        <v>5649</v>
      </c>
      <c r="C1058" s="16" t="s">
        <v>5650</v>
      </c>
      <c r="D1058" s="16" t="s">
        <v>23</v>
      </c>
      <c r="E1058" s="16" t="s">
        <v>4235</v>
      </c>
      <c r="F1058" s="16" t="s">
        <v>123</v>
      </c>
      <c r="G1058" s="16" t="s">
        <v>502</v>
      </c>
      <c r="H1058" s="16" t="s">
        <v>55</v>
      </c>
      <c r="I1058" s="16" t="s">
        <v>31</v>
      </c>
      <c r="J1058" s="16" t="s">
        <v>5651</v>
      </c>
      <c r="K1058" s="16" t="n">
        <v>53.2530479431152</v>
      </c>
      <c r="L1058" s="16" t="n">
        <v>-2.13489890098572</v>
      </c>
      <c r="M1058" s="16" t="s">
        <v>98</v>
      </c>
      <c r="N1058" s="16" t="s">
        <v>5652</v>
      </c>
      <c r="O1058" s="16" t="s">
        <v>134</v>
      </c>
      <c r="P1058" s="16" t="s">
        <v>5653</v>
      </c>
      <c r="Q1058" s="16" t="s">
        <v>100</v>
      </c>
    </row>
    <row r="1059" customFormat="false" ht="15" hidden="false" customHeight="false" outlineLevel="0" collapsed="false">
      <c r="A1059" s="16" t="n">
        <v>4621854</v>
      </c>
      <c r="B1059" s="16" t="s">
        <v>5654</v>
      </c>
      <c r="C1059" s="16" t="s">
        <v>5655</v>
      </c>
      <c r="D1059" s="16" t="s">
        <v>23</v>
      </c>
      <c r="E1059" s="16" t="s">
        <v>4235</v>
      </c>
      <c r="F1059" s="16" t="s">
        <v>123</v>
      </c>
      <c r="G1059" s="16" t="s">
        <v>33</v>
      </c>
      <c r="H1059" s="16" t="s">
        <v>44</v>
      </c>
      <c r="I1059" s="16" t="s">
        <v>33</v>
      </c>
      <c r="J1059" s="16" t="s">
        <v>5656</v>
      </c>
      <c r="K1059" s="16" t="n">
        <v>51.6176872253418</v>
      </c>
      <c r="L1059" s="16" t="n">
        <v>-0.222455218434334</v>
      </c>
      <c r="M1059" s="16" t="s">
        <v>100</v>
      </c>
      <c r="N1059" s="16"/>
      <c r="O1059" s="16"/>
      <c r="P1059" s="16"/>
      <c r="Q1059" s="16" t="s">
        <v>100</v>
      </c>
    </row>
    <row r="1060" customFormat="false" ht="15" hidden="false" customHeight="false" outlineLevel="0" collapsed="false">
      <c r="A1060" s="16" t="n">
        <v>4622618</v>
      </c>
      <c r="B1060" s="16" t="s">
        <v>5657</v>
      </c>
      <c r="C1060" s="16" t="s">
        <v>5658</v>
      </c>
      <c r="D1060" s="16" t="s">
        <v>22</v>
      </c>
      <c r="E1060" s="16" t="s">
        <v>94</v>
      </c>
      <c r="F1060" s="16" t="s">
        <v>2735</v>
      </c>
      <c r="G1060" s="16" t="s">
        <v>5659</v>
      </c>
      <c r="H1060" s="16" t="s">
        <v>595</v>
      </c>
      <c r="I1060" s="16" t="s">
        <v>33</v>
      </c>
      <c r="J1060" s="16" t="s">
        <v>5660</v>
      </c>
      <c r="K1060" s="16" t="n">
        <v>51.4736480712891</v>
      </c>
      <c r="L1060" s="16" t="n">
        <v>-0.324419945478439</v>
      </c>
      <c r="M1060" s="16" t="s">
        <v>98</v>
      </c>
      <c r="N1060" s="16" t="s">
        <v>5661</v>
      </c>
      <c r="O1060" s="16"/>
      <c r="P1060" s="16" t="s">
        <v>2738</v>
      </c>
      <c r="Q1060" s="16" t="s">
        <v>100</v>
      </c>
    </row>
    <row r="1061" customFormat="false" ht="15" hidden="false" customHeight="false" outlineLevel="0" collapsed="false">
      <c r="A1061" s="16" t="n">
        <v>4732682</v>
      </c>
      <c r="B1061" s="16" t="s">
        <v>5662</v>
      </c>
      <c r="C1061" s="16" t="s">
        <v>5663</v>
      </c>
      <c r="D1061" s="16" t="s">
        <v>23</v>
      </c>
      <c r="E1061" s="16" t="s">
        <v>94</v>
      </c>
      <c r="F1061" s="16" t="s">
        <v>3222</v>
      </c>
      <c r="G1061" s="16" t="s">
        <v>531</v>
      </c>
      <c r="H1061" s="16" t="s">
        <v>47</v>
      </c>
      <c r="I1061" s="16" t="s">
        <v>31</v>
      </c>
      <c r="J1061" s="16" t="s">
        <v>5664</v>
      </c>
      <c r="K1061" s="16" t="n">
        <v>53.7995338439941</v>
      </c>
      <c r="L1061" s="16" t="n">
        <v>-2.98788595199585</v>
      </c>
      <c r="M1061" s="16" t="s">
        <v>98</v>
      </c>
      <c r="N1061" s="16" t="s">
        <v>5665</v>
      </c>
      <c r="O1061" s="16"/>
      <c r="P1061" s="16"/>
      <c r="Q1061" s="16" t="s">
        <v>100</v>
      </c>
    </row>
    <row r="1062" customFormat="false" ht="15" hidden="false" customHeight="false" outlineLevel="0" collapsed="false">
      <c r="A1062" s="16" t="n">
        <v>4842842</v>
      </c>
      <c r="B1062" s="16" t="s">
        <v>5666</v>
      </c>
      <c r="C1062" s="16" t="s">
        <v>5667</v>
      </c>
      <c r="D1062" s="16" t="s">
        <v>23</v>
      </c>
      <c r="E1062" s="16" t="s">
        <v>4235</v>
      </c>
      <c r="F1062" s="16" t="s">
        <v>123</v>
      </c>
      <c r="G1062" s="16" t="s">
        <v>706</v>
      </c>
      <c r="H1062" s="16" t="s">
        <v>34</v>
      </c>
      <c r="I1062" s="16" t="s">
        <v>34</v>
      </c>
      <c r="J1062" s="16" t="s">
        <v>5668</v>
      </c>
      <c r="K1062" s="16" t="n">
        <v>52.4752769470215</v>
      </c>
      <c r="L1062" s="16" t="n">
        <v>-1.96080923080444</v>
      </c>
      <c r="M1062" s="16" t="s">
        <v>98</v>
      </c>
      <c r="N1062" s="16" t="s">
        <v>5669</v>
      </c>
      <c r="O1062" s="16" t="s">
        <v>134</v>
      </c>
      <c r="P1062" s="16" t="s">
        <v>5670</v>
      </c>
      <c r="Q1062" s="16" t="s">
        <v>100</v>
      </c>
    </row>
    <row r="1063" customFormat="false" ht="15" hidden="false" customHeight="false" outlineLevel="0" collapsed="false">
      <c r="A1063" s="16" t="n">
        <v>4952846</v>
      </c>
      <c r="B1063" s="16" t="s">
        <v>5671</v>
      </c>
      <c r="C1063" s="16" t="s">
        <v>5672</v>
      </c>
      <c r="D1063" s="16" t="s">
        <v>22</v>
      </c>
      <c r="E1063" s="16" t="s">
        <v>4235</v>
      </c>
      <c r="F1063" s="16" t="s">
        <v>1430</v>
      </c>
      <c r="G1063" s="16" t="s">
        <v>4774</v>
      </c>
      <c r="H1063" s="16" t="s">
        <v>57</v>
      </c>
      <c r="I1063" s="16" t="s">
        <v>32</v>
      </c>
      <c r="J1063" s="16" t="s">
        <v>5673</v>
      </c>
      <c r="K1063" s="16" t="n">
        <v>51.6541519165039</v>
      </c>
      <c r="L1063" s="16" t="n">
        <v>-0.198736995458603</v>
      </c>
      <c r="M1063" s="16" t="s">
        <v>98</v>
      </c>
      <c r="N1063" s="16" t="s">
        <v>5674</v>
      </c>
      <c r="O1063" s="16"/>
      <c r="P1063" s="16"/>
      <c r="Q1063" s="16" t="s">
        <v>100</v>
      </c>
    </row>
    <row r="1064" customFormat="false" ht="15" hidden="false" customHeight="false" outlineLevel="0" collapsed="false">
      <c r="A1064" s="16" t="n">
        <v>4953026</v>
      </c>
      <c r="B1064" s="16" t="s">
        <v>5675</v>
      </c>
      <c r="C1064" s="16" t="s">
        <v>5676</v>
      </c>
      <c r="D1064" s="16" t="s">
        <v>22</v>
      </c>
      <c r="E1064" s="16" t="s">
        <v>4235</v>
      </c>
      <c r="F1064" s="16" t="s">
        <v>1732</v>
      </c>
      <c r="G1064" s="16" t="s">
        <v>1226</v>
      </c>
      <c r="H1064" s="16" t="s">
        <v>187</v>
      </c>
      <c r="I1064" s="16" t="s">
        <v>29</v>
      </c>
      <c r="J1064" s="16" t="s">
        <v>5677</v>
      </c>
      <c r="K1064" s="16" t="n">
        <v>51.0514450073242</v>
      </c>
      <c r="L1064" s="16" t="n">
        <v>0.157473564147949</v>
      </c>
      <c r="M1064" s="16" t="s">
        <v>98</v>
      </c>
      <c r="N1064" s="16" t="s">
        <v>5678</v>
      </c>
      <c r="O1064" s="16"/>
      <c r="P1064" s="16" t="s">
        <v>3579</v>
      </c>
      <c r="Q1064" s="16" t="s">
        <v>100</v>
      </c>
    </row>
    <row r="1065" customFormat="false" ht="15" hidden="false" customHeight="false" outlineLevel="0" collapsed="false">
      <c r="A1065" s="16" t="n">
        <v>5065244</v>
      </c>
      <c r="B1065" s="16" t="s">
        <v>5679</v>
      </c>
      <c r="C1065" s="16" t="s">
        <v>5680</v>
      </c>
      <c r="D1065" s="16" t="s">
        <v>22</v>
      </c>
      <c r="E1065" s="16" t="s">
        <v>94</v>
      </c>
      <c r="F1065" s="16" t="s">
        <v>4475</v>
      </c>
      <c r="G1065" s="16" t="s">
        <v>5681</v>
      </c>
      <c r="H1065" s="16" t="s">
        <v>46</v>
      </c>
      <c r="I1065" s="16" t="s">
        <v>29</v>
      </c>
      <c r="J1065" s="16" t="s">
        <v>5682</v>
      </c>
      <c r="K1065" s="16" t="n">
        <v>51.3354454040527</v>
      </c>
      <c r="L1065" s="16" t="n">
        <v>-0.408205032348633</v>
      </c>
      <c r="M1065" s="16" t="s">
        <v>98</v>
      </c>
      <c r="N1065" s="16" t="s">
        <v>4477</v>
      </c>
      <c r="O1065" s="16" t="s">
        <v>5683</v>
      </c>
      <c r="P1065" s="16" t="s">
        <v>4479</v>
      </c>
      <c r="Q1065" s="16" t="s">
        <v>100</v>
      </c>
    </row>
    <row r="1066" customFormat="false" ht="15" hidden="false" customHeight="false" outlineLevel="0" collapsed="false">
      <c r="A1066" s="16" t="n">
        <v>5176076</v>
      </c>
      <c r="B1066" s="16" t="s">
        <v>5684</v>
      </c>
      <c r="C1066" s="16" t="s">
        <v>5685</v>
      </c>
      <c r="D1066" s="16" t="s">
        <v>23</v>
      </c>
      <c r="E1066" s="16" t="s">
        <v>5686</v>
      </c>
      <c r="F1066" s="16" t="s">
        <v>3514</v>
      </c>
      <c r="G1066" s="16" t="s">
        <v>469</v>
      </c>
      <c r="H1066" s="16" t="s">
        <v>55</v>
      </c>
      <c r="I1066" s="16" t="s">
        <v>31</v>
      </c>
      <c r="J1066" s="16" t="s">
        <v>1515</v>
      </c>
      <c r="K1066" s="16" t="n">
        <v>53.3328895568848</v>
      </c>
      <c r="L1066" s="16" t="n">
        <v>-3.0241219997406</v>
      </c>
      <c r="M1066" s="16" t="s">
        <v>98</v>
      </c>
      <c r="N1066" s="16" t="s">
        <v>5687</v>
      </c>
      <c r="O1066" s="16"/>
      <c r="P1066" s="16" t="s">
        <v>5688</v>
      </c>
      <c r="Q1066" s="16" t="s">
        <v>100</v>
      </c>
    </row>
    <row r="1067" customFormat="false" ht="15" hidden="false" customHeight="false" outlineLevel="0" collapsed="false">
      <c r="A1067" s="16" t="n">
        <v>5176991</v>
      </c>
      <c r="B1067" s="16" t="s">
        <v>5689</v>
      </c>
      <c r="C1067" s="16" t="s">
        <v>5690</v>
      </c>
      <c r="D1067" s="16" t="s">
        <v>23</v>
      </c>
      <c r="E1067" s="16" t="s">
        <v>94</v>
      </c>
      <c r="F1067" s="16" t="s">
        <v>2748</v>
      </c>
      <c r="G1067" s="16" t="s">
        <v>33</v>
      </c>
      <c r="H1067" s="16" t="s">
        <v>44</v>
      </c>
      <c r="I1067" s="16" t="s">
        <v>33</v>
      </c>
      <c r="J1067" s="16" t="s">
        <v>5691</v>
      </c>
      <c r="K1067" s="16" t="n">
        <v>51.5339202880859</v>
      </c>
      <c r="L1067" s="16" t="n">
        <v>-0.0777716413140297</v>
      </c>
      <c r="M1067" s="16" t="s">
        <v>98</v>
      </c>
      <c r="N1067" s="16" t="s">
        <v>5692</v>
      </c>
      <c r="O1067" s="16"/>
      <c r="P1067" s="16" t="s">
        <v>5693</v>
      </c>
      <c r="Q1067" s="16" t="s">
        <v>100</v>
      </c>
    </row>
    <row r="1068" customFormat="false" ht="15" hidden="false" customHeight="false" outlineLevel="0" collapsed="false">
      <c r="A1068" s="16" t="n">
        <v>5177144</v>
      </c>
      <c r="B1068" s="16" t="s">
        <v>5694</v>
      </c>
      <c r="C1068" s="16" t="s">
        <v>5695</v>
      </c>
      <c r="D1068" s="16" t="s">
        <v>23</v>
      </c>
      <c r="E1068" s="16" t="s">
        <v>94</v>
      </c>
      <c r="F1068" s="16" t="s">
        <v>5696</v>
      </c>
      <c r="G1068" s="16" t="s">
        <v>5697</v>
      </c>
      <c r="H1068" s="16" t="s">
        <v>46</v>
      </c>
      <c r="I1068" s="16" t="s">
        <v>29</v>
      </c>
      <c r="J1068" s="16" t="s">
        <v>5698</v>
      </c>
      <c r="K1068" s="16" t="n">
        <v>51.2191925048828</v>
      </c>
      <c r="L1068" s="16" t="n">
        <v>-0.161995023488998</v>
      </c>
      <c r="M1068" s="16" t="s">
        <v>98</v>
      </c>
      <c r="N1068" s="16" t="s">
        <v>5699</v>
      </c>
      <c r="O1068" s="16"/>
      <c r="P1068" s="16"/>
      <c r="Q1068" s="16" t="s">
        <v>100</v>
      </c>
    </row>
    <row r="1069" customFormat="false" ht="15" hidden="false" customHeight="false" outlineLevel="0" collapsed="false">
      <c r="A1069" s="16" t="n">
        <v>5372875</v>
      </c>
      <c r="B1069" s="16" t="s">
        <v>5700</v>
      </c>
      <c r="C1069" s="16" t="s">
        <v>5701</v>
      </c>
      <c r="D1069" s="16" t="s">
        <v>23</v>
      </c>
      <c r="E1069" s="16" t="s">
        <v>4235</v>
      </c>
      <c r="F1069" s="16" t="s">
        <v>5702</v>
      </c>
      <c r="G1069" s="16" t="s">
        <v>3009</v>
      </c>
      <c r="H1069" s="16" t="s">
        <v>45</v>
      </c>
      <c r="I1069" s="16" t="s">
        <v>29</v>
      </c>
      <c r="J1069" s="16" t="s">
        <v>5703</v>
      </c>
      <c r="K1069" s="16" t="n">
        <v>51.1426620483398</v>
      </c>
      <c r="L1069" s="16" t="n">
        <v>0.911750018596649</v>
      </c>
      <c r="M1069" s="16" t="s">
        <v>98</v>
      </c>
      <c r="N1069" s="16" t="s">
        <v>5704</v>
      </c>
      <c r="O1069" s="16" t="s">
        <v>5705</v>
      </c>
      <c r="P1069" s="16" t="s">
        <v>5706</v>
      </c>
      <c r="Q1069" s="16" t="s">
        <v>100</v>
      </c>
    </row>
    <row r="1070" customFormat="false" ht="15" hidden="false" customHeight="false" outlineLevel="0" collapsed="false">
      <c r="A1070" s="16" t="n">
        <v>5373060</v>
      </c>
      <c r="B1070" s="16" t="s">
        <v>5707</v>
      </c>
      <c r="C1070" s="16" t="s">
        <v>5708</v>
      </c>
      <c r="D1070" s="16" t="s">
        <v>22</v>
      </c>
      <c r="E1070" s="16" t="s">
        <v>4235</v>
      </c>
      <c r="F1070" s="16" t="s">
        <v>74</v>
      </c>
      <c r="G1070" s="16" t="s">
        <v>5709</v>
      </c>
      <c r="H1070" s="16" t="s">
        <v>54</v>
      </c>
      <c r="I1070" s="16" t="s">
        <v>35</v>
      </c>
      <c r="J1070" s="16" t="s">
        <v>5710</v>
      </c>
      <c r="K1070" s="16" t="n">
        <v>54.4839134216309</v>
      </c>
      <c r="L1070" s="16" t="n">
        <v>-0.617263436317444</v>
      </c>
      <c r="M1070" s="16" t="s">
        <v>98</v>
      </c>
      <c r="N1070" s="16" t="s">
        <v>5711</v>
      </c>
      <c r="O1070" s="16" t="s">
        <v>3081</v>
      </c>
      <c r="P1070" s="16" t="s">
        <v>3082</v>
      </c>
      <c r="Q1070" s="16" t="s">
        <v>100</v>
      </c>
    </row>
    <row r="1071" customFormat="false" ht="15" hidden="false" customHeight="false" outlineLevel="0" collapsed="false">
      <c r="A1071" s="16" t="n">
        <v>5373148</v>
      </c>
      <c r="B1071" s="16" t="s">
        <v>5712</v>
      </c>
      <c r="C1071" s="16" t="s">
        <v>5713</v>
      </c>
      <c r="D1071" s="16" t="s">
        <v>23</v>
      </c>
      <c r="E1071" s="16" t="s">
        <v>4235</v>
      </c>
      <c r="F1071" s="16" t="s">
        <v>65</v>
      </c>
      <c r="G1071" s="16" t="s">
        <v>3233</v>
      </c>
      <c r="H1071" s="16" t="s">
        <v>47</v>
      </c>
      <c r="I1071" s="16" t="s">
        <v>31</v>
      </c>
      <c r="J1071" s="16" t="s">
        <v>5714</v>
      </c>
      <c r="K1071" s="16" t="n">
        <v>53.5871391296387</v>
      </c>
      <c r="L1071" s="16" t="n">
        <v>-2.31672263145447</v>
      </c>
      <c r="M1071" s="16" t="s">
        <v>98</v>
      </c>
      <c r="N1071" s="16" t="s">
        <v>5715</v>
      </c>
      <c r="O1071" s="16"/>
      <c r="P1071" s="16" t="s">
        <v>5716</v>
      </c>
      <c r="Q1071" s="16" t="s">
        <v>100</v>
      </c>
    </row>
    <row r="1072" customFormat="false" ht="15" hidden="false" customHeight="false" outlineLevel="0" collapsed="false">
      <c r="A1072" s="16" t="n">
        <v>5373149</v>
      </c>
      <c r="B1072" s="16" t="s">
        <v>5717</v>
      </c>
      <c r="C1072" s="16" t="s">
        <v>5718</v>
      </c>
      <c r="D1072" s="16" t="s">
        <v>23</v>
      </c>
      <c r="E1072" s="16" t="s">
        <v>4235</v>
      </c>
      <c r="F1072" s="16" t="s">
        <v>65</v>
      </c>
      <c r="G1072" s="16" t="s">
        <v>761</v>
      </c>
      <c r="H1072" s="16" t="s">
        <v>762</v>
      </c>
      <c r="I1072" s="16" t="s">
        <v>35</v>
      </c>
      <c r="J1072" s="16" t="s">
        <v>5719</v>
      </c>
      <c r="K1072" s="16" t="n">
        <v>53.3682861328125</v>
      </c>
      <c r="L1072" s="16" t="n">
        <v>-1.45969617366791</v>
      </c>
      <c r="M1072" s="16" t="s">
        <v>98</v>
      </c>
      <c r="N1072" s="16" t="s">
        <v>5720</v>
      </c>
      <c r="O1072" s="16"/>
      <c r="P1072" s="16" t="s">
        <v>5721</v>
      </c>
      <c r="Q1072" s="16" t="s">
        <v>100</v>
      </c>
    </row>
    <row r="1073" customFormat="false" ht="15" hidden="false" customHeight="false" outlineLevel="0" collapsed="false">
      <c r="A1073" s="16" t="n">
        <v>5373150</v>
      </c>
      <c r="B1073" s="16" t="s">
        <v>5722</v>
      </c>
      <c r="C1073" s="16" t="s">
        <v>5723</v>
      </c>
      <c r="D1073" s="16" t="s">
        <v>23</v>
      </c>
      <c r="E1073" s="16" t="s">
        <v>4235</v>
      </c>
      <c r="F1073" s="16" t="s">
        <v>65</v>
      </c>
      <c r="G1073" s="16" t="s">
        <v>103</v>
      </c>
      <c r="H1073" s="16" t="s">
        <v>46</v>
      </c>
      <c r="I1073" s="16" t="s">
        <v>29</v>
      </c>
      <c r="J1073" s="16" t="s">
        <v>5724</v>
      </c>
      <c r="K1073" s="16" t="n">
        <v>51.3147773742676</v>
      </c>
      <c r="L1073" s="16" t="n">
        <v>-0.615191340446472</v>
      </c>
      <c r="M1073" s="16" t="s">
        <v>98</v>
      </c>
      <c r="N1073" s="16" t="s">
        <v>5725</v>
      </c>
      <c r="O1073" s="16"/>
      <c r="P1073" s="16" t="s">
        <v>5726</v>
      </c>
      <c r="Q1073" s="16" t="s">
        <v>100</v>
      </c>
    </row>
    <row r="1074" customFormat="false" ht="15" hidden="false" customHeight="false" outlineLevel="0" collapsed="false">
      <c r="A1074" s="16" t="n">
        <v>5480244</v>
      </c>
      <c r="B1074" s="16" t="s">
        <v>5727</v>
      </c>
      <c r="C1074" s="16" t="s">
        <v>5728</v>
      </c>
      <c r="D1074" s="16" t="s">
        <v>23</v>
      </c>
      <c r="E1074" s="16" t="s">
        <v>5686</v>
      </c>
      <c r="F1074" s="16" t="s">
        <v>3457</v>
      </c>
      <c r="G1074" s="16" t="s">
        <v>131</v>
      </c>
      <c r="H1074" s="16" t="s">
        <v>54</v>
      </c>
      <c r="I1074" s="16" t="s">
        <v>35</v>
      </c>
      <c r="J1074" s="16" t="s">
        <v>5729</v>
      </c>
      <c r="K1074" s="16" t="n">
        <v>53.968074798584</v>
      </c>
      <c r="L1074" s="16" t="n">
        <v>-1.08558464050293</v>
      </c>
      <c r="M1074" s="16" t="s">
        <v>98</v>
      </c>
      <c r="N1074" s="16" t="s">
        <v>5730</v>
      </c>
      <c r="O1074" s="16" t="s">
        <v>5731</v>
      </c>
      <c r="P1074" s="16" t="s">
        <v>5732</v>
      </c>
      <c r="Q1074" s="16" t="s">
        <v>100</v>
      </c>
    </row>
    <row r="1075" customFormat="false" ht="15" hidden="false" customHeight="false" outlineLevel="0" collapsed="false">
      <c r="A1075" s="16" t="n">
        <v>5480313</v>
      </c>
      <c r="B1075" s="16" t="s">
        <v>5733</v>
      </c>
      <c r="C1075" s="16" t="s">
        <v>5734</v>
      </c>
      <c r="D1075" s="16" t="s">
        <v>22</v>
      </c>
      <c r="E1075" s="16" t="s">
        <v>4235</v>
      </c>
      <c r="F1075" s="16" t="s">
        <v>2219</v>
      </c>
      <c r="G1075" s="16" t="s">
        <v>5735</v>
      </c>
      <c r="H1075" s="16" t="s">
        <v>1034</v>
      </c>
      <c r="I1075" s="16" t="s">
        <v>30</v>
      </c>
      <c r="J1075" s="16" t="s">
        <v>5736</v>
      </c>
      <c r="K1075" s="16" t="n">
        <v>50.4615936279297</v>
      </c>
      <c r="L1075" s="16" t="n">
        <v>-4.45096826553345</v>
      </c>
      <c r="M1075" s="16" t="s">
        <v>98</v>
      </c>
      <c r="N1075" s="16" t="s">
        <v>5737</v>
      </c>
      <c r="O1075" s="16"/>
      <c r="P1075" s="16" t="s">
        <v>5738</v>
      </c>
      <c r="Q1075" s="16" t="s">
        <v>100</v>
      </c>
    </row>
    <row r="1076" customFormat="false" ht="15" hidden="false" customHeight="false" outlineLevel="0" collapsed="false">
      <c r="A1076" s="16" t="n">
        <v>5692500</v>
      </c>
      <c r="B1076" s="16" t="s">
        <v>5739</v>
      </c>
      <c r="C1076" s="16" t="s">
        <v>5740</v>
      </c>
      <c r="D1076" s="16" t="s">
        <v>22</v>
      </c>
      <c r="E1076" s="16" t="s">
        <v>4235</v>
      </c>
      <c r="F1076" s="16" t="s">
        <v>2680</v>
      </c>
      <c r="G1076" s="16" t="s">
        <v>3291</v>
      </c>
      <c r="H1076" s="16" t="s">
        <v>45</v>
      </c>
      <c r="I1076" s="16" t="s">
        <v>29</v>
      </c>
      <c r="J1076" s="16" t="s">
        <v>5741</v>
      </c>
      <c r="K1076" s="16" t="n">
        <v>51.2774505615234</v>
      </c>
      <c r="L1076" s="16" t="n">
        <v>0.507508456707001</v>
      </c>
      <c r="M1076" s="16" t="s">
        <v>98</v>
      </c>
      <c r="N1076" s="16"/>
      <c r="O1076" s="16"/>
      <c r="P1076" s="16"/>
      <c r="Q1076" s="16" t="s">
        <v>100</v>
      </c>
    </row>
    <row r="1077" customFormat="false" ht="15" hidden="false" customHeight="false" outlineLevel="0" collapsed="false">
      <c r="A1077" s="16" t="n">
        <v>5904543</v>
      </c>
      <c r="B1077" s="16" t="s">
        <v>5742</v>
      </c>
      <c r="C1077" s="16" t="s">
        <v>5743</v>
      </c>
      <c r="D1077" s="16" t="s">
        <v>23</v>
      </c>
      <c r="E1077" s="16" t="s">
        <v>4235</v>
      </c>
      <c r="F1077" s="16" t="s">
        <v>5744</v>
      </c>
      <c r="G1077" s="16" t="s">
        <v>5745</v>
      </c>
      <c r="H1077" s="16" t="s">
        <v>50</v>
      </c>
      <c r="I1077" s="16" t="s">
        <v>35</v>
      </c>
      <c r="J1077" s="16" t="s">
        <v>5746</v>
      </c>
      <c r="K1077" s="16" t="n">
        <v>53.6828269958496</v>
      </c>
      <c r="L1077" s="16" t="n">
        <v>-1.54821920394898</v>
      </c>
      <c r="M1077" s="16" t="s">
        <v>98</v>
      </c>
      <c r="N1077" s="16" t="s">
        <v>5747</v>
      </c>
      <c r="O1077" s="16" t="s">
        <v>5748</v>
      </c>
      <c r="P1077" s="16" t="s">
        <v>5749</v>
      </c>
      <c r="Q1077" s="16" t="s">
        <v>100</v>
      </c>
    </row>
    <row r="1078" customFormat="false" ht="15" hidden="false" customHeight="false" outlineLevel="0" collapsed="false">
      <c r="A1078" s="16" t="n">
        <v>5904550</v>
      </c>
      <c r="B1078" s="16" t="s">
        <v>5750</v>
      </c>
      <c r="C1078" s="16" t="s">
        <v>5751</v>
      </c>
      <c r="D1078" s="16" t="s">
        <v>23</v>
      </c>
      <c r="E1078" s="16" t="s">
        <v>4235</v>
      </c>
      <c r="F1078" s="16" t="s">
        <v>5752</v>
      </c>
      <c r="G1078" s="16" t="s">
        <v>33</v>
      </c>
      <c r="H1078" s="16" t="s">
        <v>44</v>
      </c>
      <c r="I1078" s="16" t="s">
        <v>33</v>
      </c>
      <c r="J1078" s="16" t="s">
        <v>5753</v>
      </c>
      <c r="K1078" s="16" t="n">
        <v>51.5237121582031</v>
      </c>
      <c r="L1078" s="16" t="n">
        <v>-0.139683187007904</v>
      </c>
      <c r="M1078" s="16" t="s">
        <v>100</v>
      </c>
      <c r="N1078" s="16"/>
      <c r="O1078" s="16"/>
      <c r="P1078" s="16"/>
      <c r="Q1078" s="16" t="s">
        <v>100</v>
      </c>
    </row>
    <row r="1079" customFormat="false" ht="15" hidden="false" customHeight="false" outlineLevel="0" collapsed="false">
      <c r="A1079" s="16" t="n">
        <v>6010838</v>
      </c>
      <c r="B1079" s="16" t="s">
        <v>5754</v>
      </c>
      <c r="C1079" s="16" t="s">
        <v>5755</v>
      </c>
      <c r="D1079" s="16" t="s">
        <v>23</v>
      </c>
      <c r="E1079" s="16" t="s">
        <v>4235</v>
      </c>
      <c r="F1079" s="16" t="s">
        <v>5756</v>
      </c>
      <c r="G1079" s="16" t="s">
        <v>33</v>
      </c>
      <c r="H1079" s="16" t="s">
        <v>44</v>
      </c>
      <c r="I1079" s="16" t="s">
        <v>33</v>
      </c>
      <c r="J1079" s="16" t="s">
        <v>5757</v>
      </c>
      <c r="K1079" s="16" t="n">
        <v>51.518238067627</v>
      </c>
      <c r="L1079" s="16" t="n">
        <v>-0.149448081851006</v>
      </c>
      <c r="M1079" s="16" t="s">
        <v>100</v>
      </c>
      <c r="N1079" s="16"/>
      <c r="O1079" s="16"/>
      <c r="P1079" s="16"/>
      <c r="Q1079" s="16" t="s">
        <v>100</v>
      </c>
    </row>
    <row r="1080" customFormat="false" ht="15" hidden="false" customHeight="false" outlineLevel="0" collapsed="false">
      <c r="A1080" s="16" t="n">
        <v>6117792</v>
      </c>
      <c r="B1080" s="16" t="s">
        <v>5758</v>
      </c>
      <c r="C1080" s="16" t="s">
        <v>5759</v>
      </c>
      <c r="D1080" s="16" t="s">
        <v>23</v>
      </c>
      <c r="E1080" s="16" t="s">
        <v>4235</v>
      </c>
      <c r="F1080" s="16" t="s">
        <v>5760</v>
      </c>
      <c r="G1080" s="16" t="s">
        <v>428</v>
      </c>
      <c r="H1080" s="16" t="s">
        <v>429</v>
      </c>
      <c r="I1080" s="16" t="s">
        <v>32</v>
      </c>
      <c r="J1080" s="16" t="s">
        <v>5761</v>
      </c>
      <c r="K1080" s="16" t="n">
        <v>52.8772964477539</v>
      </c>
      <c r="L1080" s="16" t="n">
        <v>1.41349530220032</v>
      </c>
      <c r="M1080" s="16" t="s">
        <v>98</v>
      </c>
      <c r="N1080" s="16"/>
      <c r="O1080" s="16"/>
      <c r="P1080" s="16"/>
      <c r="Q1080" s="16" t="s">
        <v>100</v>
      </c>
    </row>
    <row r="1081" customFormat="false" ht="15" hidden="false" customHeight="false" outlineLevel="0" collapsed="false">
      <c r="A1081" s="16" t="n">
        <v>6117824</v>
      </c>
      <c r="B1081" s="16" t="s">
        <v>5762</v>
      </c>
      <c r="C1081" s="16" t="s">
        <v>5763</v>
      </c>
      <c r="D1081" s="16" t="s">
        <v>23</v>
      </c>
      <c r="E1081" s="16" t="s">
        <v>4235</v>
      </c>
      <c r="F1081" s="16" t="s">
        <v>5764</v>
      </c>
      <c r="G1081" s="16" t="s">
        <v>2468</v>
      </c>
      <c r="H1081" s="16" t="s">
        <v>429</v>
      </c>
      <c r="I1081" s="16" t="s">
        <v>32</v>
      </c>
      <c r="J1081" s="16" t="s">
        <v>5765</v>
      </c>
      <c r="K1081" s="16" t="n">
        <v>52.9245452880859</v>
      </c>
      <c r="L1081" s="16" t="n">
        <v>1.30082654953003</v>
      </c>
      <c r="M1081" s="16" t="s">
        <v>100</v>
      </c>
      <c r="N1081" s="16"/>
      <c r="O1081" s="16"/>
      <c r="P1081" s="16"/>
      <c r="Q1081" s="16" t="s">
        <v>100</v>
      </c>
    </row>
    <row r="1082" customFormat="false" ht="15" hidden="false" customHeight="false" outlineLevel="0" collapsed="false">
      <c r="A1082" s="16" t="n">
        <v>6224161</v>
      </c>
      <c r="B1082" s="16" t="s">
        <v>5766</v>
      </c>
      <c r="C1082" s="16" t="s">
        <v>5767</v>
      </c>
      <c r="D1082" s="16" t="s">
        <v>22</v>
      </c>
      <c r="E1082" s="16" t="s">
        <v>4235</v>
      </c>
      <c r="F1082" s="16" t="s">
        <v>1903</v>
      </c>
      <c r="G1082" s="16" t="s">
        <v>877</v>
      </c>
      <c r="H1082" s="16" t="s">
        <v>49</v>
      </c>
      <c r="I1082" s="16" t="s">
        <v>32</v>
      </c>
      <c r="J1082" s="16" t="s">
        <v>5768</v>
      </c>
      <c r="K1082" s="16" t="n">
        <v>51.7303085327149</v>
      </c>
      <c r="L1082" s="16" t="n">
        <v>0.471138209104538</v>
      </c>
      <c r="M1082" s="16" t="s">
        <v>100</v>
      </c>
      <c r="N1082" s="16"/>
      <c r="O1082" s="16"/>
      <c r="P1082" s="16"/>
      <c r="Q1082" s="16" t="s">
        <v>100</v>
      </c>
    </row>
    <row r="1083" customFormat="false" ht="15" hidden="false" customHeight="false" outlineLevel="0" collapsed="false">
      <c r="A1083" s="16" t="n">
        <v>6224175</v>
      </c>
      <c r="B1083" s="16" t="s">
        <v>5769</v>
      </c>
      <c r="C1083" s="16" t="s">
        <v>5770</v>
      </c>
      <c r="D1083" s="16" t="s">
        <v>22</v>
      </c>
      <c r="E1083" s="16" t="s">
        <v>4235</v>
      </c>
      <c r="F1083" s="16" t="s">
        <v>70</v>
      </c>
      <c r="G1083" s="16" t="s">
        <v>1376</v>
      </c>
      <c r="H1083" s="16" t="s">
        <v>48</v>
      </c>
      <c r="I1083" s="16" t="s">
        <v>30</v>
      </c>
      <c r="J1083" s="16" t="s">
        <v>5771</v>
      </c>
      <c r="K1083" s="16" t="n">
        <v>50.661491394043</v>
      </c>
      <c r="L1083" s="16" t="n">
        <v>-3.76595091819763</v>
      </c>
      <c r="M1083" s="16" t="s">
        <v>100</v>
      </c>
      <c r="N1083" s="16"/>
      <c r="O1083" s="16"/>
      <c r="P1083" s="16"/>
      <c r="Q1083" s="16" t="s">
        <v>100</v>
      </c>
    </row>
    <row r="1084" customFormat="false" ht="15" hidden="false" customHeight="false" outlineLevel="0" collapsed="false">
      <c r="A1084" s="16" t="n">
        <v>6518169</v>
      </c>
      <c r="B1084" s="16" t="s">
        <v>5772</v>
      </c>
      <c r="C1084" s="16" t="s">
        <v>5773</v>
      </c>
      <c r="D1084" s="16" t="s">
        <v>23</v>
      </c>
      <c r="E1084" s="16" t="s">
        <v>4235</v>
      </c>
      <c r="F1084" s="16" t="s">
        <v>5774</v>
      </c>
      <c r="G1084" s="16" t="s">
        <v>3341</v>
      </c>
      <c r="H1084" s="16" t="s">
        <v>55</v>
      </c>
      <c r="I1084" s="16" t="s">
        <v>31</v>
      </c>
      <c r="J1084" s="16" t="s">
        <v>5775</v>
      </c>
      <c r="K1084" s="16" t="n">
        <v>53.3899726867676</v>
      </c>
      <c r="L1084" s="16" t="n">
        <v>-2.07222509384155</v>
      </c>
      <c r="M1084" s="16" t="s">
        <v>100</v>
      </c>
      <c r="N1084" s="16"/>
      <c r="O1084" s="16"/>
      <c r="P1084" s="16"/>
      <c r="Q1084" s="16" t="s">
        <v>100</v>
      </c>
    </row>
    <row r="1085" customFormat="false" ht="15" hidden="false" customHeight="false" outlineLevel="0" collapsed="false">
      <c r="A1085" s="16" t="n">
        <v>6518170</v>
      </c>
      <c r="B1085" s="16" t="s">
        <v>5776</v>
      </c>
      <c r="C1085" s="16" t="s">
        <v>5777</v>
      </c>
      <c r="D1085" s="16" t="s">
        <v>23</v>
      </c>
      <c r="E1085" s="16" t="s">
        <v>4235</v>
      </c>
      <c r="F1085" s="16" t="s">
        <v>5774</v>
      </c>
      <c r="G1085" s="16" t="s">
        <v>5778</v>
      </c>
      <c r="H1085" s="16" t="s">
        <v>303</v>
      </c>
      <c r="I1085" s="16" t="s">
        <v>37</v>
      </c>
      <c r="J1085" s="16" t="s">
        <v>5779</v>
      </c>
      <c r="K1085" s="16" t="n">
        <v>54.6186828613281</v>
      </c>
      <c r="L1085" s="16" t="n">
        <v>-1.29175388813019</v>
      </c>
      <c r="M1085" s="16" t="s">
        <v>100</v>
      </c>
      <c r="N1085" s="16"/>
      <c r="O1085" s="16"/>
      <c r="P1085" s="16"/>
      <c r="Q1085" s="16" t="s">
        <v>100</v>
      </c>
    </row>
    <row r="1086" customFormat="false" ht="15" hidden="false" customHeight="false" outlineLevel="0" collapsed="false">
      <c r="A1086" s="16" t="n">
        <v>6518171</v>
      </c>
      <c r="B1086" s="16" t="s">
        <v>5780</v>
      </c>
      <c r="C1086" s="16" t="s">
        <v>5781</v>
      </c>
      <c r="D1086" s="16" t="s">
        <v>23</v>
      </c>
      <c r="E1086" s="16" t="s">
        <v>4235</v>
      </c>
      <c r="F1086" s="16" t="s">
        <v>5774</v>
      </c>
      <c r="G1086" s="16" t="s">
        <v>2345</v>
      </c>
      <c r="H1086" s="16" t="s">
        <v>694</v>
      </c>
      <c r="I1086" s="16" t="s">
        <v>36</v>
      </c>
      <c r="J1086" s="16" t="s">
        <v>5782</v>
      </c>
      <c r="K1086" s="16" t="n">
        <v>53.1361083984375</v>
      </c>
      <c r="L1086" s="16" t="n">
        <v>-1.16894888877869</v>
      </c>
      <c r="M1086" s="16" t="s">
        <v>100</v>
      </c>
      <c r="N1086" s="16"/>
      <c r="O1086" s="16"/>
      <c r="P1086" s="16"/>
      <c r="Q1086" s="16" t="s">
        <v>100</v>
      </c>
    </row>
    <row r="1087" customFormat="false" ht="15" hidden="false" customHeight="false" outlineLevel="0" collapsed="false">
      <c r="A1087" s="16" t="n">
        <v>6518172</v>
      </c>
      <c r="B1087" s="16" t="s">
        <v>5783</v>
      </c>
      <c r="C1087" s="16" t="s">
        <v>5784</v>
      </c>
      <c r="D1087" s="16" t="s">
        <v>23</v>
      </c>
      <c r="E1087" s="16" t="s">
        <v>4235</v>
      </c>
      <c r="F1087" s="16" t="s">
        <v>5774</v>
      </c>
      <c r="G1087" s="16" t="s">
        <v>5778</v>
      </c>
      <c r="H1087" s="16" t="s">
        <v>303</v>
      </c>
      <c r="I1087" s="16" t="s">
        <v>37</v>
      </c>
      <c r="J1087" s="16" t="s">
        <v>5785</v>
      </c>
      <c r="K1087" s="16" t="n">
        <v>54.5923042297363</v>
      </c>
      <c r="L1087" s="16" t="n">
        <v>-1.29298520088196</v>
      </c>
      <c r="M1087" s="16" t="s">
        <v>100</v>
      </c>
      <c r="N1087" s="16"/>
      <c r="O1087" s="16"/>
      <c r="P1087" s="16"/>
      <c r="Q1087" s="16" t="s">
        <v>100</v>
      </c>
    </row>
    <row r="1088" customFormat="false" ht="15" hidden="false" customHeight="false" outlineLevel="0" collapsed="false">
      <c r="A1088" s="16" t="n">
        <v>6518173</v>
      </c>
      <c r="B1088" s="16" t="s">
        <v>5786</v>
      </c>
      <c r="C1088" s="16" t="s">
        <v>5787</v>
      </c>
      <c r="D1088" s="16" t="s">
        <v>23</v>
      </c>
      <c r="E1088" s="16" t="s">
        <v>4235</v>
      </c>
      <c r="F1088" s="16" t="s">
        <v>5774</v>
      </c>
      <c r="G1088" s="16" t="s">
        <v>551</v>
      </c>
      <c r="H1088" s="16" t="s">
        <v>552</v>
      </c>
      <c r="I1088" s="16" t="s">
        <v>35</v>
      </c>
      <c r="J1088" s="16" t="s">
        <v>3089</v>
      </c>
      <c r="K1088" s="16" t="n">
        <v>53.7499389648438</v>
      </c>
      <c r="L1088" s="16" t="n">
        <v>-0.308325260877609</v>
      </c>
      <c r="M1088" s="16" t="s">
        <v>98</v>
      </c>
      <c r="N1088" s="16" t="s">
        <v>4187</v>
      </c>
      <c r="O1088" s="16"/>
      <c r="P1088" s="16"/>
      <c r="Q1088" s="16" t="s">
        <v>100</v>
      </c>
    </row>
    <row r="1089" customFormat="false" ht="15" hidden="false" customHeight="false" outlineLevel="0" collapsed="false">
      <c r="A1089" s="16" t="n">
        <v>6518174</v>
      </c>
      <c r="B1089" s="16" t="s">
        <v>5788</v>
      </c>
      <c r="C1089" s="16" t="s">
        <v>5789</v>
      </c>
      <c r="D1089" s="16" t="s">
        <v>23</v>
      </c>
      <c r="E1089" s="16" t="s">
        <v>4235</v>
      </c>
      <c r="F1089" s="16" t="s">
        <v>5774</v>
      </c>
      <c r="G1089" s="16" t="s">
        <v>5790</v>
      </c>
      <c r="H1089" s="16" t="s">
        <v>49</v>
      </c>
      <c r="I1089" s="16" t="s">
        <v>32</v>
      </c>
      <c r="J1089" s="16" t="s">
        <v>5791</v>
      </c>
      <c r="K1089" s="16" t="n">
        <v>51.6911125183106</v>
      </c>
      <c r="L1089" s="16" t="n">
        <v>0.0198169313371181</v>
      </c>
      <c r="M1089" s="16" t="s">
        <v>100</v>
      </c>
      <c r="N1089" s="16"/>
      <c r="O1089" s="16"/>
      <c r="P1089" s="16"/>
      <c r="Q1089" s="16" t="s">
        <v>100</v>
      </c>
    </row>
    <row r="1090" customFormat="false" ht="15" hidden="false" customHeight="false" outlineLevel="0" collapsed="false">
      <c r="A1090" s="16" t="n">
        <v>6518175</v>
      </c>
      <c r="B1090" s="16" t="s">
        <v>5792</v>
      </c>
      <c r="C1090" s="16" t="s">
        <v>5793</v>
      </c>
      <c r="D1090" s="16" t="s">
        <v>23</v>
      </c>
      <c r="E1090" s="16" t="s">
        <v>4235</v>
      </c>
      <c r="F1090" s="16" t="s">
        <v>5774</v>
      </c>
      <c r="G1090" s="16" t="s">
        <v>551</v>
      </c>
      <c r="H1090" s="16" t="s">
        <v>552</v>
      </c>
      <c r="I1090" s="16" t="s">
        <v>35</v>
      </c>
      <c r="J1090" s="16" t="s">
        <v>5794</v>
      </c>
      <c r="K1090" s="16" t="n">
        <v>53.7886199951172</v>
      </c>
      <c r="L1090" s="16" t="n">
        <v>-0.307072937488556</v>
      </c>
      <c r="M1090" s="16" t="s">
        <v>98</v>
      </c>
      <c r="N1090" s="16" t="s">
        <v>4187</v>
      </c>
      <c r="O1090" s="16"/>
      <c r="P1090" s="16"/>
      <c r="Q1090" s="16" t="s">
        <v>100</v>
      </c>
    </row>
    <row r="1091" customFormat="false" ht="15" hidden="false" customHeight="false" outlineLevel="0" collapsed="false">
      <c r="A1091" s="16" t="n">
        <v>6701616</v>
      </c>
      <c r="B1091" s="16" t="s">
        <v>5795</v>
      </c>
      <c r="C1091" s="16" t="s">
        <v>5796</v>
      </c>
      <c r="D1091" s="16" t="s">
        <v>23</v>
      </c>
      <c r="E1091" s="16" t="s">
        <v>4235</v>
      </c>
      <c r="F1091" s="16" t="s">
        <v>5797</v>
      </c>
      <c r="G1091" s="16" t="s">
        <v>5798</v>
      </c>
      <c r="H1091" s="16" t="s">
        <v>187</v>
      </c>
      <c r="I1091" s="16" t="s">
        <v>29</v>
      </c>
      <c r="J1091" s="16" t="s">
        <v>5799</v>
      </c>
      <c r="K1091" s="16" t="n">
        <v>50.9618988037109</v>
      </c>
      <c r="L1091" s="16" t="n">
        <v>0.731182932853699</v>
      </c>
      <c r="M1091" s="16" t="s">
        <v>100</v>
      </c>
      <c r="N1091" s="16"/>
      <c r="O1091" s="16"/>
      <c r="P1091" s="16"/>
      <c r="Q1091" s="16" t="s">
        <v>100</v>
      </c>
    </row>
    <row r="1092" customFormat="false" ht="15" hidden="false" customHeight="false" outlineLevel="0" collapsed="false">
      <c r="A1092" s="16" t="n">
        <v>6701659</v>
      </c>
      <c r="B1092" s="16" t="s">
        <v>5800</v>
      </c>
      <c r="C1092" s="16" t="s">
        <v>5801</v>
      </c>
      <c r="D1092" s="16" t="s">
        <v>23</v>
      </c>
      <c r="E1092" s="16" t="s">
        <v>4235</v>
      </c>
      <c r="F1092" s="16" t="s">
        <v>95</v>
      </c>
      <c r="G1092" s="16" t="s">
        <v>2560</v>
      </c>
      <c r="H1092" s="16" t="s">
        <v>45</v>
      </c>
      <c r="I1092" s="16" t="s">
        <v>29</v>
      </c>
      <c r="J1092" s="16" t="s">
        <v>5802</v>
      </c>
      <c r="K1092" s="16" t="n">
        <v>51.4422264099121</v>
      </c>
      <c r="L1092" s="16" t="n">
        <v>0.22681237757206</v>
      </c>
      <c r="M1092" s="16" t="s">
        <v>98</v>
      </c>
      <c r="N1092" s="16" t="s">
        <v>5803</v>
      </c>
      <c r="O1092" s="16"/>
      <c r="P1092" s="16" t="s">
        <v>5804</v>
      </c>
      <c r="Q1092" s="16" t="s">
        <v>100</v>
      </c>
    </row>
    <row r="1093" customFormat="false" ht="15" hidden="false" customHeight="false" outlineLevel="0" collapsed="false">
      <c r="A1093" s="16" t="n">
        <v>6701944</v>
      </c>
      <c r="B1093" s="16" t="s">
        <v>5805</v>
      </c>
      <c r="C1093" s="16" t="s">
        <v>5806</v>
      </c>
      <c r="D1093" s="16" t="s">
        <v>23</v>
      </c>
      <c r="E1093" s="16" t="s">
        <v>5686</v>
      </c>
      <c r="F1093" s="16" t="s">
        <v>72</v>
      </c>
      <c r="G1093" s="16" t="s">
        <v>3718</v>
      </c>
      <c r="H1093" s="16" t="s">
        <v>429</v>
      </c>
      <c r="I1093" s="16" t="s">
        <v>32</v>
      </c>
      <c r="J1093" s="16" t="s">
        <v>2492</v>
      </c>
      <c r="K1093" s="16" t="n">
        <v>52.6595306396484</v>
      </c>
      <c r="L1093" s="16" t="n">
        <v>1.25088632106781</v>
      </c>
      <c r="M1093" s="16" t="s">
        <v>98</v>
      </c>
      <c r="N1093" s="16"/>
      <c r="O1093" s="16"/>
      <c r="P1093" s="16"/>
      <c r="Q1093" s="16" t="s">
        <v>100</v>
      </c>
    </row>
    <row r="1094" customFormat="false" ht="15" hidden="false" customHeight="false" outlineLevel="0" collapsed="false">
      <c r="A1094" s="16" t="n">
        <v>6701976</v>
      </c>
      <c r="B1094" s="16" t="s">
        <v>5807</v>
      </c>
      <c r="C1094" s="16" t="s">
        <v>5808</v>
      </c>
      <c r="D1094" s="16" t="s">
        <v>23</v>
      </c>
      <c r="E1094" s="16" t="s">
        <v>5686</v>
      </c>
      <c r="F1094" s="16" t="s">
        <v>72</v>
      </c>
      <c r="G1094" s="16" t="s">
        <v>3718</v>
      </c>
      <c r="H1094" s="16" t="s">
        <v>254</v>
      </c>
      <c r="I1094" s="16" t="s">
        <v>32</v>
      </c>
      <c r="J1094" s="16" t="s">
        <v>5030</v>
      </c>
      <c r="K1094" s="16" t="n">
        <v>52.0506134033203</v>
      </c>
      <c r="L1094" s="16" t="n">
        <v>1.19261133670807</v>
      </c>
      <c r="M1094" s="16" t="s">
        <v>98</v>
      </c>
      <c r="N1094" s="16"/>
      <c r="O1094" s="16"/>
      <c r="P1094" s="16"/>
      <c r="Q1094" s="16" t="s">
        <v>100</v>
      </c>
    </row>
    <row r="1095" customFormat="false" ht="15" hidden="false" customHeight="false" outlineLevel="0" collapsed="false">
      <c r="A1095" s="16" t="n">
        <v>6795504</v>
      </c>
      <c r="B1095" s="16" t="s">
        <v>5809</v>
      </c>
      <c r="C1095" s="16" t="s">
        <v>5810</v>
      </c>
      <c r="D1095" s="16" t="s">
        <v>23</v>
      </c>
      <c r="E1095" s="16" t="s">
        <v>4235</v>
      </c>
      <c r="F1095" s="16" t="s">
        <v>62</v>
      </c>
      <c r="G1095" s="16" t="s">
        <v>1192</v>
      </c>
      <c r="H1095" s="16" t="s">
        <v>694</v>
      </c>
      <c r="I1095" s="16" t="s">
        <v>36</v>
      </c>
      <c r="J1095" s="16" t="s">
        <v>5811</v>
      </c>
      <c r="K1095" s="16" t="n">
        <v>52.9184265136719</v>
      </c>
      <c r="L1095" s="16" t="n">
        <v>-1.08667600154877</v>
      </c>
      <c r="M1095" s="16" t="s">
        <v>98</v>
      </c>
      <c r="N1095" s="16" t="s">
        <v>5812</v>
      </c>
      <c r="O1095" s="16" t="s">
        <v>5813</v>
      </c>
      <c r="P1095" s="16" t="s">
        <v>5814</v>
      </c>
      <c r="Q1095" s="16" t="s">
        <v>100</v>
      </c>
    </row>
    <row r="1096" customFormat="false" ht="15" hidden="false" customHeight="false" outlineLevel="0" collapsed="false">
      <c r="A1096" s="16" t="n">
        <v>7071384</v>
      </c>
      <c r="B1096" s="16" t="s">
        <v>5815</v>
      </c>
      <c r="C1096" s="16" t="s">
        <v>5816</v>
      </c>
      <c r="D1096" s="16" t="s">
        <v>23</v>
      </c>
      <c r="E1096" s="16" t="s">
        <v>5686</v>
      </c>
      <c r="F1096" s="16" t="s">
        <v>3514</v>
      </c>
      <c r="G1096" s="16" t="s">
        <v>202</v>
      </c>
      <c r="H1096" s="16" t="s">
        <v>55</v>
      </c>
      <c r="I1096" s="16" t="s">
        <v>31</v>
      </c>
      <c r="J1096" s="16" t="s">
        <v>3515</v>
      </c>
      <c r="K1096" s="16" t="n">
        <v>53.2115478515625</v>
      </c>
      <c r="L1096" s="16" t="n">
        <v>-2.89881062507629</v>
      </c>
      <c r="M1096" s="16" t="s">
        <v>98</v>
      </c>
      <c r="N1096" s="16" t="s">
        <v>5817</v>
      </c>
      <c r="O1096" s="16"/>
      <c r="P1096" s="16" t="s">
        <v>5818</v>
      </c>
      <c r="Q1096" s="16" t="s">
        <v>100</v>
      </c>
    </row>
    <row r="1097" customFormat="false" ht="15" hidden="false" customHeight="false" outlineLevel="0" collapsed="false">
      <c r="A1097" s="16" t="n">
        <v>7071523</v>
      </c>
      <c r="B1097" s="16" t="s">
        <v>5819</v>
      </c>
      <c r="C1097" s="16" t="s">
        <v>5820</v>
      </c>
      <c r="D1097" s="16" t="s">
        <v>22</v>
      </c>
      <c r="E1097" s="16" t="s">
        <v>94</v>
      </c>
      <c r="F1097" s="16" t="s">
        <v>2729</v>
      </c>
      <c r="G1097" s="16" t="s">
        <v>706</v>
      </c>
      <c r="H1097" s="16" t="s">
        <v>34</v>
      </c>
      <c r="I1097" s="16" t="s">
        <v>34</v>
      </c>
      <c r="J1097" s="16" t="s">
        <v>5821</v>
      </c>
      <c r="K1097" s="16" t="n">
        <v>52.4532356262207</v>
      </c>
      <c r="L1097" s="16" t="n">
        <v>-1.94289088249207</v>
      </c>
      <c r="M1097" s="16" t="s">
        <v>100</v>
      </c>
      <c r="N1097" s="16"/>
      <c r="O1097" s="16"/>
      <c r="P1097" s="16"/>
      <c r="Q1097" s="16" t="s">
        <v>100</v>
      </c>
    </row>
    <row r="1098" customFormat="false" ht="15" hidden="false" customHeight="false" outlineLevel="0" collapsed="false">
      <c r="A1098" s="16" t="n">
        <v>7353080</v>
      </c>
      <c r="B1098" s="16" t="s">
        <v>5822</v>
      </c>
      <c r="C1098" s="16" t="s">
        <v>5823</v>
      </c>
      <c r="D1098" s="16" t="s">
        <v>22</v>
      </c>
      <c r="E1098" s="16" t="s">
        <v>4235</v>
      </c>
      <c r="F1098" s="16" t="s">
        <v>1962</v>
      </c>
      <c r="G1098" s="16" t="s">
        <v>5824</v>
      </c>
      <c r="H1098" s="16" t="s">
        <v>157</v>
      </c>
      <c r="I1098" s="16" t="s">
        <v>32</v>
      </c>
      <c r="J1098" s="16" t="s">
        <v>5825</v>
      </c>
      <c r="K1098" s="16" t="n">
        <v>52.3333511352539</v>
      </c>
      <c r="L1098" s="16" t="n">
        <v>-0.202664032578468</v>
      </c>
      <c r="M1098" s="16" t="s">
        <v>98</v>
      </c>
      <c r="N1098" s="16" t="s">
        <v>5826</v>
      </c>
      <c r="O1098" s="16"/>
      <c r="P1098" s="16" t="s">
        <v>1970</v>
      </c>
      <c r="Q1098" s="16" t="s">
        <v>100</v>
      </c>
    </row>
    <row r="1099" customFormat="false" ht="15" hidden="false" customHeight="false" outlineLevel="0" collapsed="false">
      <c r="A1099" s="16" t="n">
        <v>7353197</v>
      </c>
      <c r="B1099" s="16" t="s">
        <v>5827</v>
      </c>
      <c r="C1099" s="16" t="s">
        <v>5828</v>
      </c>
      <c r="D1099" s="16" t="s">
        <v>23</v>
      </c>
      <c r="E1099" s="16" t="s">
        <v>94</v>
      </c>
      <c r="F1099" s="16" t="s">
        <v>70</v>
      </c>
      <c r="G1099" s="16" t="s">
        <v>3718</v>
      </c>
      <c r="H1099" s="16" t="s">
        <v>48</v>
      </c>
      <c r="I1099" s="16" t="s">
        <v>30</v>
      </c>
      <c r="J1099" s="16" t="s">
        <v>5829</v>
      </c>
      <c r="K1099" s="16" t="n">
        <v>50.7309837341309</v>
      </c>
      <c r="L1099" s="16" t="n">
        <v>-3.48414063453674</v>
      </c>
      <c r="M1099" s="16" t="s">
        <v>98</v>
      </c>
      <c r="N1099" s="16"/>
      <c r="O1099" s="16"/>
      <c r="P1099" s="16"/>
      <c r="Q1099" s="16" t="s">
        <v>100</v>
      </c>
    </row>
    <row r="1100" customFormat="false" ht="15" hidden="false" customHeight="false" outlineLevel="0" collapsed="false">
      <c r="A1100" s="16" t="n">
        <v>7560330</v>
      </c>
      <c r="B1100" s="16" t="s">
        <v>5830</v>
      </c>
      <c r="C1100" s="16" t="s">
        <v>5831</v>
      </c>
      <c r="D1100" s="16" t="s">
        <v>23</v>
      </c>
      <c r="E1100" s="16" t="s">
        <v>4235</v>
      </c>
      <c r="F1100" s="16" t="s">
        <v>63</v>
      </c>
      <c r="G1100" s="16" t="s">
        <v>749</v>
      </c>
      <c r="H1100" s="16" t="s">
        <v>46</v>
      </c>
      <c r="I1100" s="16" t="s">
        <v>29</v>
      </c>
      <c r="J1100" s="16" t="s">
        <v>5832</v>
      </c>
      <c r="K1100" s="16" t="n">
        <v>51.3801422119141</v>
      </c>
      <c r="L1100" s="16" t="n">
        <v>-0.100363910198212</v>
      </c>
      <c r="M1100" s="16" t="s">
        <v>98</v>
      </c>
      <c r="N1100" s="16" t="s">
        <v>5833</v>
      </c>
      <c r="O1100" s="16" t="s">
        <v>5834</v>
      </c>
      <c r="P1100" s="16" t="s">
        <v>5835</v>
      </c>
      <c r="Q1100" s="16" t="s">
        <v>100</v>
      </c>
    </row>
    <row r="1101" customFormat="false" ht="15" hidden="false" customHeight="false" outlineLevel="0" collapsed="false">
      <c r="A1101" s="16" t="n">
        <v>7560656</v>
      </c>
      <c r="B1101" s="16" t="s">
        <v>5836</v>
      </c>
      <c r="C1101" s="16" t="s">
        <v>5837</v>
      </c>
      <c r="D1101" s="16" t="s">
        <v>22</v>
      </c>
      <c r="E1101" s="16" t="s">
        <v>4235</v>
      </c>
      <c r="F1101" s="16" t="s">
        <v>3457</v>
      </c>
      <c r="G1101" s="16" t="s">
        <v>5838</v>
      </c>
      <c r="H1101" s="16" t="s">
        <v>303</v>
      </c>
      <c r="I1101" s="16" t="s">
        <v>37</v>
      </c>
      <c r="J1101" s="16" t="s">
        <v>5839</v>
      </c>
      <c r="K1101" s="16" t="n">
        <v>54.6005821228027</v>
      </c>
      <c r="L1101" s="16" t="n">
        <v>-1.06969141960144</v>
      </c>
      <c r="M1101" s="16" t="s">
        <v>100</v>
      </c>
      <c r="N1101" s="16"/>
      <c r="O1101" s="16"/>
      <c r="P1101" s="16"/>
      <c r="Q1101" s="16" t="s">
        <v>100</v>
      </c>
    </row>
    <row r="1102" customFormat="false" ht="15" hidden="false" customHeight="false" outlineLevel="0" collapsed="false">
      <c r="A1102" s="16" t="n">
        <v>7560659</v>
      </c>
      <c r="B1102" s="16" t="s">
        <v>5840</v>
      </c>
      <c r="C1102" s="16" t="s">
        <v>5841</v>
      </c>
      <c r="D1102" s="16" t="s">
        <v>23</v>
      </c>
      <c r="E1102" s="16" t="s">
        <v>4235</v>
      </c>
      <c r="F1102" s="16" t="s">
        <v>4184</v>
      </c>
      <c r="G1102" s="16" t="s">
        <v>5842</v>
      </c>
      <c r="H1102" s="16" t="s">
        <v>3078</v>
      </c>
      <c r="I1102" s="16" t="s">
        <v>35</v>
      </c>
      <c r="J1102" s="16" t="s">
        <v>5843</v>
      </c>
      <c r="K1102" s="16" t="n">
        <v>53.7154655456543</v>
      </c>
      <c r="L1102" s="16" t="n">
        <v>-0.874916791915893</v>
      </c>
      <c r="M1102" s="16" t="s">
        <v>98</v>
      </c>
      <c r="N1102" s="16" t="s">
        <v>5844</v>
      </c>
      <c r="O1102" s="16"/>
      <c r="P1102" s="16"/>
      <c r="Q1102" s="16" t="s">
        <v>100</v>
      </c>
    </row>
    <row r="1103" customFormat="false" ht="15" hidden="false" customHeight="false" outlineLevel="0" collapsed="false">
      <c r="A1103" s="16" t="n">
        <v>7560822</v>
      </c>
      <c r="B1103" s="16" t="s">
        <v>5845</v>
      </c>
      <c r="C1103" s="16" t="s">
        <v>5846</v>
      </c>
      <c r="D1103" s="16" t="s">
        <v>22</v>
      </c>
      <c r="E1103" s="16" t="s">
        <v>94</v>
      </c>
      <c r="F1103" s="16" t="s">
        <v>5847</v>
      </c>
      <c r="G1103" s="16" t="s">
        <v>5848</v>
      </c>
      <c r="H1103" s="16" t="s">
        <v>49</v>
      </c>
      <c r="I1103" s="16" t="s">
        <v>32</v>
      </c>
      <c r="J1103" s="16" t="s">
        <v>5849</v>
      </c>
      <c r="K1103" s="16" t="n">
        <v>51.5839538574219</v>
      </c>
      <c r="L1103" s="16" t="n">
        <v>0.702796399593353</v>
      </c>
      <c r="M1103" s="16" t="s">
        <v>98</v>
      </c>
      <c r="N1103" s="16" t="s">
        <v>5850</v>
      </c>
      <c r="O1103" s="16"/>
      <c r="P1103" s="16"/>
      <c r="Q1103" s="16" t="s">
        <v>100</v>
      </c>
    </row>
    <row r="1104" customFormat="false" ht="15" hidden="false" customHeight="false" outlineLevel="0" collapsed="false">
      <c r="A1104" s="16" t="n">
        <v>7757945</v>
      </c>
      <c r="B1104" s="16" t="s">
        <v>5851</v>
      </c>
      <c r="C1104" s="16" t="s">
        <v>5852</v>
      </c>
      <c r="D1104" s="16" t="s">
        <v>23</v>
      </c>
      <c r="E1104" s="16" t="s">
        <v>94</v>
      </c>
      <c r="F1104" s="16" t="s">
        <v>5847</v>
      </c>
      <c r="G1104" s="16" t="s">
        <v>4744</v>
      </c>
      <c r="H1104" s="16" t="s">
        <v>49</v>
      </c>
      <c r="I1104" s="16" t="s">
        <v>32</v>
      </c>
      <c r="J1104" s="16" t="s">
        <v>5853</v>
      </c>
      <c r="K1104" s="16" t="n">
        <v>51.4963760375977</v>
      </c>
      <c r="L1104" s="16" t="n">
        <v>0.336211025714874</v>
      </c>
      <c r="M1104" s="16" t="s">
        <v>98</v>
      </c>
      <c r="N1104" s="16" t="s">
        <v>5854</v>
      </c>
      <c r="O1104" s="16"/>
      <c r="P1104" s="16"/>
      <c r="Q1104" s="16" t="s">
        <v>100</v>
      </c>
    </row>
    <row r="1105" customFormat="false" ht="15" hidden="false" customHeight="false" outlineLevel="0" collapsed="false">
      <c r="A1105" s="16" t="n">
        <v>7828754</v>
      </c>
      <c r="B1105" s="16" t="s">
        <v>5855</v>
      </c>
      <c r="C1105" s="16" t="s">
        <v>5856</v>
      </c>
      <c r="D1105" s="16" t="s">
        <v>22</v>
      </c>
      <c r="E1105" s="16" t="s">
        <v>4235</v>
      </c>
      <c r="F1105" s="16" t="s">
        <v>2134</v>
      </c>
      <c r="G1105" s="16" t="s">
        <v>761</v>
      </c>
      <c r="H1105" s="16" t="s">
        <v>762</v>
      </c>
      <c r="I1105" s="16" t="s">
        <v>35</v>
      </c>
      <c r="J1105" s="16" t="s">
        <v>5857</v>
      </c>
      <c r="K1105" s="16" t="n">
        <v>53.378288269043</v>
      </c>
      <c r="L1105" s="16" t="n">
        <v>-1.51079976558685</v>
      </c>
      <c r="M1105" s="16" t="s">
        <v>100</v>
      </c>
      <c r="N1105" s="16"/>
      <c r="O1105" s="16"/>
      <c r="P1105" s="16"/>
      <c r="Q1105" s="16" t="s">
        <v>100</v>
      </c>
    </row>
    <row r="1106" customFormat="false" ht="15" hidden="false" customHeight="false" outlineLevel="0" collapsed="false">
      <c r="A1106" s="16" t="n">
        <v>7828769</v>
      </c>
      <c r="B1106" s="16" t="s">
        <v>5858</v>
      </c>
      <c r="C1106" s="16" t="s">
        <v>5859</v>
      </c>
      <c r="D1106" s="16" t="s">
        <v>22</v>
      </c>
      <c r="E1106" s="16" t="s">
        <v>4235</v>
      </c>
      <c r="F1106" s="16" t="s">
        <v>2337</v>
      </c>
      <c r="G1106" s="16" t="s">
        <v>1192</v>
      </c>
      <c r="H1106" s="16" t="s">
        <v>694</v>
      </c>
      <c r="I1106" s="16" t="s">
        <v>36</v>
      </c>
      <c r="J1106" s="16" t="s">
        <v>5860</v>
      </c>
      <c r="K1106" s="16" t="n">
        <v>53.100959777832</v>
      </c>
      <c r="L1106" s="16" t="n">
        <v>-1.24664950370789</v>
      </c>
      <c r="M1106" s="16" t="s">
        <v>100</v>
      </c>
      <c r="N1106" s="16"/>
      <c r="O1106" s="16"/>
      <c r="P1106" s="16"/>
      <c r="Q1106" s="16" t="s">
        <v>100</v>
      </c>
    </row>
    <row r="1107" customFormat="false" ht="15" hidden="false" customHeight="false" outlineLevel="0" collapsed="false">
      <c r="A1107" s="16" t="n">
        <v>8027649</v>
      </c>
      <c r="B1107" s="16" t="s">
        <v>5861</v>
      </c>
      <c r="C1107" s="16" t="s">
        <v>5862</v>
      </c>
      <c r="D1107" s="16" t="s">
        <v>23</v>
      </c>
      <c r="E1107" s="16" t="s">
        <v>4235</v>
      </c>
      <c r="F1107" s="16" t="s">
        <v>5862</v>
      </c>
      <c r="G1107" s="16" t="s">
        <v>627</v>
      </c>
      <c r="H1107" s="16" t="s">
        <v>595</v>
      </c>
      <c r="I1107" s="16" t="s">
        <v>33</v>
      </c>
      <c r="J1107" s="16" t="s">
        <v>5863</v>
      </c>
      <c r="K1107" s="16" t="n">
        <v>51.5867042541504</v>
      </c>
      <c r="L1107" s="16" t="n">
        <v>-0.300271719694138</v>
      </c>
      <c r="M1107" s="16" t="s">
        <v>100</v>
      </c>
      <c r="N1107" s="16"/>
      <c r="O1107" s="16"/>
      <c r="P1107" s="16"/>
      <c r="Q1107" s="16" t="s">
        <v>100</v>
      </c>
    </row>
    <row r="1108" customFormat="false" ht="15" hidden="false" customHeight="false" outlineLevel="0" collapsed="false">
      <c r="A1108" s="16" t="n">
        <v>8028042</v>
      </c>
      <c r="B1108" s="16" t="s">
        <v>5864</v>
      </c>
      <c r="C1108" s="16" t="s">
        <v>5865</v>
      </c>
      <c r="D1108" s="16" t="s">
        <v>23</v>
      </c>
      <c r="E1108" s="16" t="s">
        <v>4235</v>
      </c>
      <c r="F1108" s="16" t="s">
        <v>5865</v>
      </c>
      <c r="G1108" s="16" t="s">
        <v>5374</v>
      </c>
      <c r="H1108" s="16" t="s">
        <v>620</v>
      </c>
      <c r="I1108" s="16" t="s">
        <v>29</v>
      </c>
      <c r="J1108" s="16" t="s">
        <v>5866</v>
      </c>
      <c r="K1108" s="16" t="n">
        <v>51.8207244873047</v>
      </c>
      <c r="L1108" s="16" t="n">
        <v>-0.815903425216675</v>
      </c>
      <c r="M1108" s="16" t="s">
        <v>100</v>
      </c>
      <c r="N1108" s="16"/>
      <c r="O1108" s="16"/>
      <c r="P1108" s="16"/>
      <c r="Q1108" s="16" t="s">
        <v>100</v>
      </c>
    </row>
    <row r="1109" customFormat="false" ht="15" hidden="false" customHeight="false" outlineLevel="0" collapsed="false">
      <c r="A1109" s="16" t="n">
        <v>8028120</v>
      </c>
      <c r="B1109" s="16" t="s">
        <v>5867</v>
      </c>
      <c r="C1109" s="16" t="s">
        <v>5868</v>
      </c>
      <c r="D1109" s="16" t="s">
        <v>23</v>
      </c>
      <c r="E1109" s="16" t="s">
        <v>4235</v>
      </c>
      <c r="F1109" s="16" t="s">
        <v>63</v>
      </c>
      <c r="G1109" s="16" t="s">
        <v>3031</v>
      </c>
      <c r="H1109" s="16" t="s">
        <v>303</v>
      </c>
      <c r="I1109" s="16" t="s">
        <v>37</v>
      </c>
      <c r="J1109" s="16" t="s">
        <v>5869</v>
      </c>
      <c r="K1109" s="16" t="n">
        <v>54.5464324951172</v>
      </c>
      <c r="L1109" s="16" t="n">
        <v>-1.25098848342896</v>
      </c>
      <c r="M1109" s="16" t="s">
        <v>98</v>
      </c>
      <c r="N1109" s="16" t="s">
        <v>5870</v>
      </c>
      <c r="O1109" s="16"/>
      <c r="P1109" s="16" t="s">
        <v>5871</v>
      </c>
      <c r="Q1109" s="16" t="s">
        <v>100</v>
      </c>
    </row>
    <row r="1110" customFormat="false" ht="15" hidden="false" customHeight="false" outlineLevel="0" collapsed="false">
      <c r="A1110" s="16" t="n">
        <v>8127678</v>
      </c>
      <c r="B1110" s="16" t="s">
        <v>5872</v>
      </c>
      <c r="C1110" s="16" t="s">
        <v>5873</v>
      </c>
      <c r="D1110" s="16" t="s">
        <v>22</v>
      </c>
      <c r="E1110" s="16" t="s">
        <v>4235</v>
      </c>
      <c r="F1110" s="16" t="s">
        <v>2987</v>
      </c>
      <c r="G1110" s="16" t="s">
        <v>329</v>
      </c>
      <c r="H1110" s="16" t="s">
        <v>330</v>
      </c>
      <c r="I1110" s="16" t="s">
        <v>29</v>
      </c>
      <c r="J1110" s="16" t="s">
        <v>4439</v>
      </c>
      <c r="K1110" s="16" t="n">
        <v>51.7496566772461</v>
      </c>
      <c r="L1110" s="16" t="n">
        <v>-1.21419906616211</v>
      </c>
      <c r="M1110" s="16" t="s">
        <v>100</v>
      </c>
      <c r="N1110" s="16"/>
      <c r="O1110" s="16"/>
      <c r="P1110" s="16"/>
      <c r="Q1110" s="16" t="s">
        <v>100</v>
      </c>
    </row>
    <row r="1111" customFormat="false" ht="15" hidden="false" customHeight="false" outlineLevel="0" collapsed="false">
      <c r="A1111" s="16" t="n">
        <v>8127909</v>
      </c>
      <c r="B1111" s="16" t="s">
        <v>5874</v>
      </c>
      <c r="C1111" s="16" t="s">
        <v>5875</v>
      </c>
      <c r="D1111" s="16" t="s">
        <v>23</v>
      </c>
      <c r="E1111" s="16" t="s">
        <v>4235</v>
      </c>
      <c r="F1111" s="16" t="s">
        <v>5876</v>
      </c>
      <c r="G1111" s="16" t="s">
        <v>524</v>
      </c>
      <c r="H1111" s="16" t="s">
        <v>46</v>
      </c>
      <c r="I1111" s="16" t="s">
        <v>29</v>
      </c>
      <c r="J1111" s="16" t="s">
        <v>5877</v>
      </c>
      <c r="K1111" s="16" t="n">
        <v>51.2204933166504</v>
      </c>
      <c r="L1111" s="16" t="n">
        <v>-0.784627556800842</v>
      </c>
      <c r="M1111" s="16" t="s">
        <v>100</v>
      </c>
      <c r="N1111" s="16"/>
      <c r="O1111" s="16"/>
      <c r="P1111" s="16"/>
      <c r="Q1111" s="16" t="s">
        <v>100</v>
      </c>
    </row>
    <row r="1112" customFormat="false" ht="15" hidden="false" customHeight="false" outlineLevel="0" collapsed="false">
      <c r="A1112" s="16" t="n">
        <v>8228408</v>
      </c>
      <c r="B1112" s="16" t="s">
        <v>5878</v>
      </c>
      <c r="C1112" s="16" t="s">
        <v>5879</v>
      </c>
      <c r="D1112" s="16" t="s">
        <v>23</v>
      </c>
      <c r="E1112" s="16" t="s">
        <v>4235</v>
      </c>
      <c r="F1112" s="16" t="s">
        <v>5880</v>
      </c>
      <c r="G1112" s="16" t="s">
        <v>1081</v>
      </c>
      <c r="H1112" s="16" t="s">
        <v>117</v>
      </c>
      <c r="I1112" s="16" t="s">
        <v>31</v>
      </c>
      <c r="J1112" s="16" t="s">
        <v>5881</v>
      </c>
      <c r="K1112" s="16" t="n">
        <v>53.47900390625</v>
      </c>
      <c r="L1112" s="16" t="n">
        <v>-2.27854824066162</v>
      </c>
      <c r="M1112" s="16" t="s">
        <v>98</v>
      </c>
      <c r="N1112" s="16" t="s">
        <v>5882</v>
      </c>
      <c r="O1112" s="16" t="s">
        <v>5883</v>
      </c>
      <c r="P1112" s="16" t="s">
        <v>5884</v>
      </c>
      <c r="Q1112" s="16" t="s">
        <v>100</v>
      </c>
    </row>
    <row r="1113" customFormat="false" ht="15" hidden="false" customHeight="false" outlineLevel="0" collapsed="false">
      <c r="A1113" s="16" t="n">
        <v>8228422</v>
      </c>
      <c r="B1113" s="16" t="s">
        <v>5885</v>
      </c>
      <c r="C1113" s="16" t="s">
        <v>5886</v>
      </c>
      <c r="D1113" s="16" t="s">
        <v>22</v>
      </c>
      <c r="E1113" s="16" t="s">
        <v>4235</v>
      </c>
      <c r="F1113" s="16" t="s">
        <v>5887</v>
      </c>
      <c r="G1113" s="16" t="s">
        <v>116</v>
      </c>
      <c r="H1113" s="16" t="s">
        <v>117</v>
      </c>
      <c r="I1113" s="16" t="s">
        <v>31</v>
      </c>
      <c r="J1113" s="16" t="s">
        <v>5888</v>
      </c>
      <c r="K1113" s="16" t="n">
        <v>53.4616737365723</v>
      </c>
      <c r="L1113" s="16" t="n">
        <v>-2.22489070892334</v>
      </c>
      <c r="M1113" s="16" t="s">
        <v>98</v>
      </c>
      <c r="N1113" s="16" t="s">
        <v>5889</v>
      </c>
      <c r="O1113" s="16"/>
      <c r="P1113" s="16" t="s">
        <v>5890</v>
      </c>
      <c r="Q1113" s="16" t="s">
        <v>100</v>
      </c>
    </row>
    <row r="1114" customFormat="false" ht="15" hidden="false" customHeight="false" outlineLevel="0" collapsed="false">
      <c r="A1114" s="16" t="n">
        <v>8228423</v>
      </c>
      <c r="B1114" s="16" t="s">
        <v>5891</v>
      </c>
      <c r="C1114" s="16" t="s">
        <v>5892</v>
      </c>
      <c r="D1114" s="16" t="s">
        <v>22</v>
      </c>
      <c r="E1114" s="16" t="s">
        <v>4235</v>
      </c>
      <c r="F1114" s="16" t="s">
        <v>5887</v>
      </c>
      <c r="G1114" s="16" t="s">
        <v>116</v>
      </c>
      <c r="H1114" s="16" t="s">
        <v>117</v>
      </c>
      <c r="I1114" s="16" t="s">
        <v>31</v>
      </c>
      <c r="J1114" s="16" t="s">
        <v>5888</v>
      </c>
      <c r="K1114" s="16" t="n">
        <v>53.4604682922363</v>
      </c>
      <c r="L1114" s="16" t="n">
        <v>-2.2244758605957</v>
      </c>
      <c r="M1114" s="16" t="s">
        <v>98</v>
      </c>
      <c r="N1114" s="16" t="s">
        <v>5889</v>
      </c>
      <c r="O1114" s="16"/>
      <c r="P1114" s="16" t="s">
        <v>5893</v>
      </c>
      <c r="Q1114" s="16" t="s">
        <v>100</v>
      </c>
    </row>
    <row r="1115" customFormat="false" ht="15" hidden="false" customHeight="false" outlineLevel="0" collapsed="false">
      <c r="A1115" s="16" t="n">
        <v>8228424</v>
      </c>
      <c r="B1115" s="16" t="s">
        <v>5894</v>
      </c>
      <c r="C1115" s="16" t="s">
        <v>5895</v>
      </c>
      <c r="D1115" s="16" t="s">
        <v>22</v>
      </c>
      <c r="E1115" s="16" t="s">
        <v>4235</v>
      </c>
      <c r="F1115" s="16" t="s">
        <v>5887</v>
      </c>
      <c r="G1115" s="16" t="s">
        <v>116</v>
      </c>
      <c r="H1115" s="16" t="s">
        <v>117</v>
      </c>
      <c r="I1115" s="16" t="s">
        <v>31</v>
      </c>
      <c r="J1115" s="16" t="s">
        <v>5888</v>
      </c>
      <c r="K1115" s="16" t="n">
        <v>53.4608879089355</v>
      </c>
      <c r="L1115" s="16" t="n">
        <v>-2.22398233413696</v>
      </c>
      <c r="M1115" s="16" t="s">
        <v>98</v>
      </c>
      <c r="N1115" s="16" t="s">
        <v>5889</v>
      </c>
      <c r="O1115" s="16"/>
      <c r="P1115" s="16" t="s">
        <v>5896</v>
      </c>
      <c r="Q1115" s="16" t="s">
        <v>100</v>
      </c>
    </row>
    <row r="1116" customFormat="false" ht="15" hidden="false" customHeight="false" outlineLevel="0" collapsed="false">
      <c r="A1116" s="16" t="n">
        <v>8228425</v>
      </c>
      <c r="B1116" s="16" t="s">
        <v>5897</v>
      </c>
      <c r="C1116" s="16" t="s">
        <v>1943</v>
      </c>
      <c r="D1116" s="16" t="s">
        <v>22</v>
      </c>
      <c r="E1116" s="16" t="s">
        <v>4235</v>
      </c>
      <c r="F1116" s="16" t="s">
        <v>5887</v>
      </c>
      <c r="G1116" s="16" t="s">
        <v>116</v>
      </c>
      <c r="H1116" s="16" t="s">
        <v>117</v>
      </c>
      <c r="I1116" s="16" t="s">
        <v>31</v>
      </c>
      <c r="J1116" s="16" t="s">
        <v>5888</v>
      </c>
      <c r="K1116" s="16" t="n">
        <v>53.4611701965332</v>
      </c>
      <c r="L1116" s="16" t="n">
        <v>-2.22389650344849</v>
      </c>
      <c r="M1116" s="16" t="s">
        <v>98</v>
      </c>
      <c r="N1116" s="16" t="s">
        <v>5889</v>
      </c>
      <c r="O1116" s="16"/>
      <c r="P1116" s="16" t="s">
        <v>5898</v>
      </c>
      <c r="Q1116" s="16" t="s">
        <v>100</v>
      </c>
    </row>
    <row r="1117" customFormat="false" ht="15" hidden="false" customHeight="false" outlineLevel="0" collapsed="false">
      <c r="A1117" s="16" t="n">
        <v>8228427</v>
      </c>
      <c r="B1117" s="16" t="s">
        <v>5899</v>
      </c>
      <c r="C1117" s="16" t="s">
        <v>5900</v>
      </c>
      <c r="D1117" s="16" t="s">
        <v>22</v>
      </c>
      <c r="E1117" s="16" t="s">
        <v>4235</v>
      </c>
      <c r="F1117" s="16" t="s">
        <v>5887</v>
      </c>
      <c r="G1117" s="16" t="s">
        <v>116</v>
      </c>
      <c r="H1117" s="16" t="s">
        <v>117</v>
      </c>
      <c r="I1117" s="16" t="s">
        <v>31</v>
      </c>
      <c r="J1117" s="16" t="s">
        <v>5901</v>
      </c>
      <c r="K1117" s="16" t="n">
        <v>53.3888511657715</v>
      </c>
      <c r="L1117" s="16" t="n">
        <v>-2.29181504249573</v>
      </c>
      <c r="M1117" s="16" t="s">
        <v>98</v>
      </c>
      <c r="N1117" s="16" t="s">
        <v>5902</v>
      </c>
      <c r="O1117" s="16"/>
      <c r="P1117" s="16" t="s">
        <v>5903</v>
      </c>
      <c r="Q1117" s="16" t="s">
        <v>100</v>
      </c>
    </row>
    <row r="1118" customFormat="false" ht="15" hidden="false" customHeight="false" outlineLevel="0" collapsed="false">
      <c r="A1118" s="16" t="n">
        <v>8228428</v>
      </c>
      <c r="B1118" s="16" t="s">
        <v>5904</v>
      </c>
      <c r="C1118" s="16" t="s">
        <v>5905</v>
      </c>
      <c r="D1118" s="16" t="s">
        <v>22</v>
      </c>
      <c r="E1118" s="16" t="s">
        <v>4235</v>
      </c>
      <c r="F1118" s="16" t="s">
        <v>5887</v>
      </c>
      <c r="G1118" s="16" t="s">
        <v>116</v>
      </c>
      <c r="H1118" s="16" t="s">
        <v>117</v>
      </c>
      <c r="I1118" s="16" t="s">
        <v>31</v>
      </c>
      <c r="J1118" s="16" t="s">
        <v>5906</v>
      </c>
      <c r="K1118" s="16" t="n">
        <v>53.4252014160156</v>
      </c>
      <c r="L1118" s="16" t="n">
        <v>-2.24521684646606</v>
      </c>
      <c r="M1118" s="16" t="s">
        <v>98</v>
      </c>
      <c r="N1118" s="16" t="s">
        <v>5907</v>
      </c>
      <c r="O1118" s="16"/>
      <c r="P1118" s="16" t="s">
        <v>5908</v>
      </c>
      <c r="Q1118" s="16" t="s">
        <v>100</v>
      </c>
    </row>
    <row r="1119" customFormat="false" ht="15" hidden="false" customHeight="false" outlineLevel="0" collapsed="false">
      <c r="A1119" s="16" t="n">
        <v>8228429</v>
      </c>
      <c r="B1119" s="16" t="s">
        <v>5909</v>
      </c>
      <c r="C1119" s="16" t="s">
        <v>5910</v>
      </c>
      <c r="D1119" s="16" t="s">
        <v>22</v>
      </c>
      <c r="E1119" s="16" t="s">
        <v>4235</v>
      </c>
      <c r="F1119" s="16" t="s">
        <v>5887</v>
      </c>
      <c r="G1119" s="16" t="s">
        <v>116</v>
      </c>
      <c r="H1119" s="16" t="s">
        <v>117</v>
      </c>
      <c r="I1119" s="16" t="s">
        <v>31</v>
      </c>
      <c r="J1119" s="16" t="s">
        <v>4181</v>
      </c>
      <c r="K1119" s="16" t="n">
        <v>53.4540672302246</v>
      </c>
      <c r="L1119" s="16" t="n">
        <v>-2.37068295478821</v>
      </c>
      <c r="M1119" s="16" t="s">
        <v>98</v>
      </c>
      <c r="N1119" s="16" t="s">
        <v>5911</v>
      </c>
      <c r="O1119" s="16"/>
      <c r="P1119" s="16" t="s">
        <v>5912</v>
      </c>
      <c r="Q1119" s="16" t="s">
        <v>100</v>
      </c>
    </row>
    <row r="1120" customFormat="false" ht="15" hidden="false" customHeight="false" outlineLevel="0" collapsed="false">
      <c r="A1120" s="16" t="n">
        <v>8228430</v>
      </c>
      <c r="B1120" s="16" t="s">
        <v>5913</v>
      </c>
      <c r="C1120" s="16" t="s">
        <v>5914</v>
      </c>
      <c r="D1120" s="16" t="s">
        <v>22</v>
      </c>
      <c r="E1120" s="16" t="s">
        <v>4235</v>
      </c>
      <c r="F1120" s="16" t="s">
        <v>5887</v>
      </c>
      <c r="G1120" s="16" t="s">
        <v>915</v>
      </c>
      <c r="H1120" s="16" t="s">
        <v>55</v>
      </c>
      <c r="I1120" s="16" t="s">
        <v>31</v>
      </c>
      <c r="J1120" s="16" t="s">
        <v>5915</v>
      </c>
      <c r="K1120" s="16" t="n">
        <v>53.3851089477539</v>
      </c>
      <c r="L1120" s="16" t="n">
        <v>-2.35123205184937</v>
      </c>
      <c r="M1120" s="16" t="s">
        <v>98</v>
      </c>
      <c r="N1120" s="16" t="s">
        <v>5916</v>
      </c>
      <c r="O1120" s="16"/>
      <c r="P1120" s="16" t="s">
        <v>5917</v>
      </c>
      <c r="Q1120" s="16" t="s">
        <v>100</v>
      </c>
    </row>
    <row r="1121" customFormat="false" ht="15" hidden="false" customHeight="false" outlineLevel="0" collapsed="false">
      <c r="A1121" s="16" t="n">
        <v>8228458</v>
      </c>
      <c r="B1121" s="16" t="s">
        <v>5918</v>
      </c>
      <c r="C1121" s="16" t="s">
        <v>5919</v>
      </c>
      <c r="D1121" s="16" t="s">
        <v>22</v>
      </c>
      <c r="E1121" s="16" t="s">
        <v>4235</v>
      </c>
      <c r="F1121" s="16" t="s">
        <v>5887</v>
      </c>
      <c r="G1121" s="16" t="s">
        <v>116</v>
      </c>
      <c r="H1121" s="16" t="s">
        <v>117</v>
      </c>
      <c r="I1121" s="16" t="s">
        <v>31</v>
      </c>
      <c r="J1121" s="16" t="s">
        <v>5920</v>
      </c>
      <c r="K1121" s="16" t="n">
        <v>53.4653663635254</v>
      </c>
      <c r="L1121" s="16" t="n">
        <v>-2.23663783073425</v>
      </c>
      <c r="M1121" s="16" t="s">
        <v>98</v>
      </c>
      <c r="N1121" s="16" t="s">
        <v>5921</v>
      </c>
      <c r="O1121" s="16"/>
      <c r="P1121" s="16" t="s">
        <v>5922</v>
      </c>
      <c r="Q1121" s="16" t="s">
        <v>100</v>
      </c>
    </row>
    <row r="1122" customFormat="false" ht="15" hidden="false" customHeight="false" outlineLevel="0" collapsed="false">
      <c r="A1122" s="16" t="n">
        <v>8329532</v>
      </c>
      <c r="B1122" s="16" t="s">
        <v>5923</v>
      </c>
      <c r="C1122" s="16" t="s">
        <v>5924</v>
      </c>
      <c r="D1122" s="16" t="s">
        <v>23</v>
      </c>
      <c r="E1122" s="16" t="s">
        <v>4235</v>
      </c>
      <c r="F1122" s="16" t="s">
        <v>5925</v>
      </c>
      <c r="G1122" s="16" t="s">
        <v>5926</v>
      </c>
      <c r="H1122" s="16" t="s">
        <v>55</v>
      </c>
      <c r="I1122" s="16" t="s">
        <v>31</v>
      </c>
      <c r="J1122" s="16" t="s">
        <v>5927</v>
      </c>
      <c r="K1122" s="16" t="n">
        <v>53.3246574401855</v>
      </c>
      <c r="L1122" s="16" t="n">
        <v>-2.23481321334839</v>
      </c>
      <c r="M1122" s="16" t="s">
        <v>100</v>
      </c>
      <c r="N1122" s="16"/>
      <c r="O1122" s="16"/>
      <c r="P1122" s="16"/>
      <c r="Q1122" s="16" t="s">
        <v>100</v>
      </c>
    </row>
    <row r="1123" customFormat="false" ht="15" hidden="false" customHeight="false" outlineLevel="0" collapsed="false">
      <c r="A1123" s="16" t="n">
        <v>8329604</v>
      </c>
      <c r="B1123" s="16" t="s">
        <v>5928</v>
      </c>
      <c r="C1123" s="16" t="s">
        <v>5929</v>
      </c>
      <c r="D1123" s="16" t="s">
        <v>22</v>
      </c>
      <c r="E1123" s="16" t="s">
        <v>4235</v>
      </c>
      <c r="F1123" s="16" t="s">
        <v>3306</v>
      </c>
      <c r="G1123" s="16" t="s">
        <v>5930</v>
      </c>
      <c r="H1123" s="16" t="s">
        <v>57</v>
      </c>
      <c r="I1123" s="16" t="s">
        <v>32</v>
      </c>
      <c r="J1123" s="16" t="s">
        <v>5931</v>
      </c>
      <c r="K1123" s="16" t="n">
        <v>51.7048301696777</v>
      </c>
      <c r="L1123" s="16" t="n">
        <v>-0.408574491739273</v>
      </c>
      <c r="M1123" s="16" t="s">
        <v>100</v>
      </c>
      <c r="N1123" s="16"/>
      <c r="O1123" s="16"/>
      <c r="P1123" s="16"/>
      <c r="Q1123" s="16" t="s">
        <v>100</v>
      </c>
    </row>
    <row r="1124" customFormat="false" ht="15" hidden="false" customHeight="false" outlineLevel="0" collapsed="false">
      <c r="A1124" s="16" t="n">
        <v>8329608</v>
      </c>
      <c r="B1124" s="16" t="s">
        <v>5932</v>
      </c>
      <c r="C1124" s="16" t="s">
        <v>5933</v>
      </c>
      <c r="D1124" s="16" t="s">
        <v>23</v>
      </c>
      <c r="E1124" s="16" t="s">
        <v>4235</v>
      </c>
      <c r="F1124" s="16" t="s">
        <v>5934</v>
      </c>
      <c r="G1124" s="16" t="s">
        <v>1685</v>
      </c>
      <c r="H1124" s="16" t="s">
        <v>429</v>
      </c>
      <c r="I1124" s="16" t="s">
        <v>32</v>
      </c>
      <c r="J1124" s="16" t="s">
        <v>5935</v>
      </c>
      <c r="K1124" s="16" t="n">
        <v>52.7578201293945</v>
      </c>
      <c r="L1124" s="16" t="n">
        <v>0.447176158428192</v>
      </c>
      <c r="M1124" s="16" t="s">
        <v>98</v>
      </c>
      <c r="N1124" s="16"/>
      <c r="O1124" s="16"/>
      <c r="P1124" s="16"/>
      <c r="Q1124" s="16" t="s">
        <v>100</v>
      </c>
    </row>
    <row r="1125" customFormat="false" ht="15" hidden="false" customHeight="false" outlineLevel="0" collapsed="false">
      <c r="A1125" s="16" t="n">
        <v>8329710</v>
      </c>
      <c r="B1125" s="16" t="s">
        <v>5936</v>
      </c>
      <c r="C1125" s="16" t="s">
        <v>5937</v>
      </c>
      <c r="D1125" s="16" t="s">
        <v>23</v>
      </c>
      <c r="E1125" s="16" t="s">
        <v>4235</v>
      </c>
      <c r="F1125" s="16" t="s">
        <v>5702</v>
      </c>
      <c r="G1125" s="16" t="s">
        <v>5938</v>
      </c>
      <c r="H1125" s="16" t="s">
        <v>57</v>
      </c>
      <c r="I1125" s="16" t="s">
        <v>32</v>
      </c>
      <c r="J1125" s="16" t="s">
        <v>5939</v>
      </c>
      <c r="K1125" s="16" t="n">
        <v>51.7707214355469</v>
      </c>
      <c r="L1125" s="16" t="n">
        <v>-0.236349955201149</v>
      </c>
      <c r="M1125" s="16" t="s">
        <v>98</v>
      </c>
      <c r="N1125" s="16" t="s">
        <v>5940</v>
      </c>
      <c r="O1125" s="16" t="s">
        <v>5941</v>
      </c>
      <c r="P1125" s="16" t="s">
        <v>5942</v>
      </c>
      <c r="Q1125" s="16" t="s">
        <v>100</v>
      </c>
    </row>
    <row r="1126" customFormat="false" ht="15" hidden="false" customHeight="false" outlineLevel="0" collapsed="false">
      <c r="A1126" s="16" t="n">
        <v>8431103</v>
      </c>
      <c r="B1126" s="16" t="s">
        <v>5943</v>
      </c>
      <c r="C1126" s="16" t="s">
        <v>5944</v>
      </c>
      <c r="D1126" s="16" t="s">
        <v>23</v>
      </c>
      <c r="E1126" s="16" t="s">
        <v>4235</v>
      </c>
      <c r="F1126" s="16" t="s">
        <v>5744</v>
      </c>
      <c r="G1126" s="16" t="s">
        <v>587</v>
      </c>
      <c r="H1126" s="16" t="s">
        <v>47</v>
      </c>
      <c r="I1126" s="16" t="s">
        <v>31</v>
      </c>
      <c r="J1126" s="16" t="s">
        <v>5945</v>
      </c>
      <c r="K1126" s="16" t="n">
        <v>53.5799331665039</v>
      </c>
      <c r="L1126" s="16" t="n">
        <v>-2.42580771446228</v>
      </c>
      <c r="M1126" s="16" t="s">
        <v>98</v>
      </c>
      <c r="N1126" s="16" t="s">
        <v>5747</v>
      </c>
      <c r="O1126" s="16" t="s">
        <v>5748</v>
      </c>
      <c r="P1126" s="16" t="s">
        <v>5946</v>
      </c>
      <c r="Q1126" s="16" t="s">
        <v>100</v>
      </c>
    </row>
    <row r="1127" customFormat="false" ht="15" hidden="false" customHeight="false" outlineLevel="0" collapsed="false">
      <c r="A1127" s="16" t="n">
        <v>8532393</v>
      </c>
      <c r="B1127" s="16" t="s">
        <v>5947</v>
      </c>
      <c r="C1127" s="16" t="s">
        <v>5948</v>
      </c>
      <c r="D1127" s="16" t="s">
        <v>23</v>
      </c>
      <c r="E1127" s="16" t="s">
        <v>4235</v>
      </c>
      <c r="F1127" s="16" t="s">
        <v>5949</v>
      </c>
      <c r="G1127" s="16" t="s">
        <v>33</v>
      </c>
      <c r="H1127" s="16" t="s">
        <v>44</v>
      </c>
      <c r="I1127" s="16" t="s">
        <v>33</v>
      </c>
      <c r="J1127" s="16" t="s">
        <v>5950</v>
      </c>
      <c r="K1127" s="16" t="n">
        <v>51.5190162658691</v>
      </c>
      <c r="L1127" s="16" t="n">
        <v>-0.0581186227500438</v>
      </c>
      <c r="M1127" s="16" t="s">
        <v>98</v>
      </c>
      <c r="N1127" s="16"/>
      <c r="O1127" s="16"/>
      <c r="P1127" s="16"/>
      <c r="Q1127" s="16" t="s">
        <v>100</v>
      </c>
    </row>
    <row r="1128" customFormat="false" ht="15" hidden="false" customHeight="false" outlineLevel="0" collapsed="false">
      <c r="A1128" s="16" t="n">
        <v>8634153</v>
      </c>
      <c r="B1128" s="16" t="s">
        <v>5951</v>
      </c>
      <c r="C1128" s="16" t="s">
        <v>5952</v>
      </c>
      <c r="D1128" s="16" t="s">
        <v>22</v>
      </c>
      <c r="E1128" s="16" t="s">
        <v>4235</v>
      </c>
      <c r="F1128" s="16" t="s">
        <v>1987</v>
      </c>
      <c r="G1128" s="16" t="s">
        <v>329</v>
      </c>
      <c r="H1128" s="16" t="s">
        <v>330</v>
      </c>
      <c r="I1128" s="16" t="s">
        <v>29</v>
      </c>
      <c r="J1128" s="16" t="s">
        <v>2998</v>
      </c>
      <c r="K1128" s="16" t="n">
        <v>51.7638740539551</v>
      </c>
      <c r="L1128" s="16" t="n">
        <v>-1.21979200839996</v>
      </c>
      <c r="M1128" s="16" t="s">
        <v>100</v>
      </c>
      <c r="N1128" s="16"/>
      <c r="O1128" s="16"/>
      <c r="P1128" s="16"/>
      <c r="Q1128" s="16" t="s">
        <v>100</v>
      </c>
    </row>
    <row r="1129" customFormat="false" ht="15" hidden="false" customHeight="false" outlineLevel="0" collapsed="false">
      <c r="A1129" s="16" t="n">
        <v>8836829</v>
      </c>
      <c r="B1129" s="16" t="s">
        <v>5953</v>
      </c>
      <c r="C1129" s="16" t="s">
        <v>5954</v>
      </c>
      <c r="D1129" s="16" t="s">
        <v>23</v>
      </c>
      <c r="E1129" s="16" t="s">
        <v>4235</v>
      </c>
      <c r="F1129" s="16" t="s">
        <v>5955</v>
      </c>
      <c r="G1129" s="16" t="s">
        <v>33</v>
      </c>
      <c r="H1129" s="16" t="s">
        <v>44</v>
      </c>
      <c r="I1129" s="16" t="s">
        <v>33</v>
      </c>
      <c r="J1129" s="16" t="s">
        <v>5956</v>
      </c>
      <c r="K1129" s="16" t="n">
        <v>51.5202178955078</v>
      </c>
      <c r="L1129" s="16" t="n">
        <v>-0.150679528713226</v>
      </c>
      <c r="M1129" s="16" t="s">
        <v>98</v>
      </c>
      <c r="N1129" s="16" t="s">
        <v>5957</v>
      </c>
      <c r="O1129" s="16"/>
      <c r="P1129" s="16" t="s">
        <v>5958</v>
      </c>
      <c r="Q1129" s="16" t="s">
        <v>100</v>
      </c>
    </row>
    <row r="1130" customFormat="false" ht="15" hidden="false" customHeight="false" outlineLevel="0" collapsed="false">
      <c r="A1130" s="16" t="n">
        <v>8836833</v>
      </c>
      <c r="B1130" s="16" t="s">
        <v>5959</v>
      </c>
      <c r="C1130" s="16" t="s">
        <v>5960</v>
      </c>
      <c r="D1130" s="16" t="s">
        <v>23</v>
      </c>
      <c r="E1130" s="16" t="s">
        <v>94</v>
      </c>
      <c r="F1130" s="16" t="s">
        <v>3981</v>
      </c>
      <c r="G1130" s="16" t="s">
        <v>706</v>
      </c>
      <c r="H1130" s="16" t="s">
        <v>34</v>
      </c>
      <c r="I1130" s="16" t="s">
        <v>34</v>
      </c>
      <c r="J1130" s="16" t="s">
        <v>5961</v>
      </c>
      <c r="K1130" s="16" t="n">
        <v>52.4363746643066</v>
      </c>
      <c r="L1130" s="16" t="n">
        <v>-1.93883800506592</v>
      </c>
      <c r="M1130" s="16" t="s">
        <v>98</v>
      </c>
      <c r="N1130" s="16" t="s">
        <v>3989</v>
      </c>
      <c r="O1130" s="16"/>
      <c r="P1130" s="16" t="s">
        <v>5962</v>
      </c>
      <c r="Q1130" s="16" t="s">
        <v>100</v>
      </c>
    </row>
    <row r="1131" customFormat="false" ht="15" hidden="false" customHeight="false" outlineLevel="0" collapsed="false">
      <c r="A1131" s="16" t="n">
        <v>8837168</v>
      </c>
      <c r="B1131" s="16" t="s">
        <v>5963</v>
      </c>
      <c r="C1131" s="16" t="s">
        <v>5964</v>
      </c>
      <c r="D1131" s="16" t="s">
        <v>23</v>
      </c>
      <c r="E1131" s="16" t="s">
        <v>4235</v>
      </c>
      <c r="F1131" s="16" t="s">
        <v>4482</v>
      </c>
      <c r="G1131" s="16" t="s">
        <v>1930</v>
      </c>
      <c r="H1131" s="16" t="s">
        <v>220</v>
      </c>
      <c r="I1131" s="16" t="s">
        <v>36</v>
      </c>
      <c r="J1131" s="16" t="s">
        <v>5965</v>
      </c>
      <c r="K1131" s="16" t="n">
        <v>53.233943939209</v>
      </c>
      <c r="L1131" s="16" t="n">
        <v>-1.43960499763489</v>
      </c>
      <c r="M1131" s="16" t="s">
        <v>100</v>
      </c>
      <c r="N1131" s="16"/>
      <c r="O1131" s="16"/>
      <c r="P1131" s="16"/>
      <c r="Q1131" s="16" t="s">
        <v>100</v>
      </c>
    </row>
    <row r="1132" customFormat="false" ht="15" hidden="false" customHeight="false" outlineLevel="0" collapsed="false">
      <c r="A1132" s="16" t="n">
        <v>8837239</v>
      </c>
      <c r="B1132" s="16" t="s">
        <v>5966</v>
      </c>
      <c r="C1132" s="16" t="s">
        <v>5967</v>
      </c>
      <c r="D1132" s="16" t="s">
        <v>23</v>
      </c>
      <c r="E1132" s="16" t="s">
        <v>4235</v>
      </c>
      <c r="F1132" s="16" t="s">
        <v>5968</v>
      </c>
      <c r="G1132" s="16" t="s">
        <v>1067</v>
      </c>
      <c r="H1132" s="16" t="s">
        <v>714</v>
      </c>
      <c r="I1132" s="16" t="s">
        <v>30</v>
      </c>
      <c r="J1132" s="16" t="s">
        <v>5969</v>
      </c>
      <c r="K1132" s="16" t="n">
        <v>51.1070518493652</v>
      </c>
      <c r="L1132" s="16" t="n">
        <v>-1.87586760520935</v>
      </c>
      <c r="M1132" s="16" t="s">
        <v>100</v>
      </c>
      <c r="N1132" s="16"/>
      <c r="O1132" s="16"/>
      <c r="P1132" s="16"/>
      <c r="Q1132" s="16" t="s">
        <v>100</v>
      </c>
    </row>
    <row r="1133" customFormat="false" ht="15" hidden="false" customHeight="false" outlineLevel="0" collapsed="false">
      <c r="A1133" s="16" t="n">
        <v>9040110</v>
      </c>
      <c r="B1133" s="16" t="s">
        <v>5970</v>
      </c>
      <c r="C1133" s="16" t="s">
        <v>5971</v>
      </c>
      <c r="D1133" s="16" t="s">
        <v>22</v>
      </c>
      <c r="E1133" s="16" t="s">
        <v>4235</v>
      </c>
      <c r="F1133" s="16" t="s">
        <v>2124</v>
      </c>
      <c r="G1133" s="16" t="s">
        <v>174</v>
      </c>
      <c r="H1133" s="16" t="s">
        <v>53</v>
      </c>
      <c r="I1133" s="16" t="s">
        <v>30</v>
      </c>
      <c r="J1133" s="16" t="s">
        <v>175</v>
      </c>
      <c r="K1133" s="16" t="n">
        <v>50.7297554016113</v>
      </c>
      <c r="L1133" s="16" t="n">
        <v>-1.86978089809418</v>
      </c>
      <c r="M1133" s="16" t="s">
        <v>100</v>
      </c>
      <c r="N1133" s="16"/>
      <c r="O1133" s="16"/>
      <c r="P1133" s="16"/>
      <c r="Q1133" s="16" t="s">
        <v>100</v>
      </c>
    </row>
    <row r="1134" customFormat="false" ht="15" hidden="false" customHeight="false" outlineLevel="0" collapsed="false">
      <c r="A1134" s="16" t="n">
        <v>9242464</v>
      </c>
      <c r="B1134" s="16" t="s">
        <v>5972</v>
      </c>
      <c r="C1134" s="16" t="s">
        <v>5973</v>
      </c>
      <c r="D1134" s="16" t="s">
        <v>22</v>
      </c>
      <c r="E1134" s="16" t="s">
        <v>4235</v>
      </c>
      <c r="F1134" s="16" t="s">
        <v>2975</v>
      </c>
      <c r="G1134" s="16" t="s">
        <v>5974</v>
      </c>
      <c r="H1134" s="16" t="s">
        <v>285</v>
      </c>
      <c r="I1134" s="16" t="s">
        <v>34</v>
      </c>
      <c r="J1134" s="16" t="s">
        <v>5975</v>
      </c>
      <c r="K1134" s="16" t="n">
        <v>52.6859397888184</v>
      </c>
      <c r="L1134" s="16" t="n">
        <v>-1.81545579433441</v>
      </c>
      <c r="M1134" s="16" t="s">
        <v>98</v>
      </c>
      <c r="N1134" s="16" t="s">
        <v>5976</v>
      </c>
      <c r="O1134" s="16"/>
      <c r="P1134" s="16" t="s">
        <v>2984</v>
      </c>
      <c r="Q1134" s="16" t="s">
        <v>100</v>
      </c>
    </row>
    <row r="1135" customFormat="false" ht="15" hidden="false" customHeight="false" outlineLevel="0" collapsed="false">
      <c r="A1135" s="16" t="n">
        <v>9445752</v>
      </c>
      <c r="B1135" s="16" t="s">
        <v>5977</v>
      </c>
      <c r="C1135" s="16" t="s">
        <v>5978</v>
      </c>
      <c r="D1135" s="16" t="s">
        <v>22</v>
      </c>
      <c r="E1135" s="16" t="s">
        <v>4235</v>
      </c>
      <c r="F1135" s="16" t="s">
        <v>2840</v>
      </c>
      <c r="G1135" s="16" t="s">
        <v>706</v>
      </c>
      <c r="H1135" s="16" t="s">
        <v>34</v>
      </c>
      <c r="I1135" s="16" t="s">
        <v>34</v>
      </c>
      <c r="J1135" s="16" t="s">
        <v>5979</v>
      </c>
      <c r="K1135" s="16" t="n">
        <v>52.4802207946777</v>
      </c>
      <c r="L1135" s="16" t="n">
        <v>-1.82995104789734</v>
      </c>
      <c r="M1135" s="16" t="s">
        <v>98</v>
      </c>
      <c r="N1135" s="16" t="s">
        <v>5980</v>
      </c>
      <c r="O1135" s="16"/>
      <c r="P1135" s="16" t="s">
        <v>5981</v>
      </c>
      <c r="Q1135" s="16" t="s">
        <v>100</v>
      </c>
    </row>
    <row r="1136" customFormat="false" ht="15" hidden="false" customHeight="false" outlineLevel="0" collapsed="false">
      <c r="A1136" s="16" t="n">
        <v>9445753</v>
      </c>
      <c r="B1136" s="16" t="s">
        <v>5982</v>
      </c>
      <c r="C1136" s="16" t="s">
        <v>5983</v>
      </c>
      <c r="D1136" s="16" t="s">
        <v>22</v>
      </c>
      <c r="E1136" s="16" t="s">
        <v>4235</v>
      </c>
      <c r="F1136" s="16" t="s">
        <v>2840</v>
      </c>
      <c r="G1136" s="16" t="s">
        <v>449</v>
      </c>
      <c r="H1136" s="16" t="s">
        <v>34</v>
      </c>
      <c r="I1136" s="16" t="s">
        <v>34</v>
      </c>
      <c r="J1136" s="16" t="s">
        <v>5984</v>
      </c>
      <c r="K1136" s="16" t="n">
        <v>52.5673675537109</v>
      </c>
      <c r="L1136" s="16" t="n">
        <v>-1.81202876567841</v>
      </c>
      <c r="M1136" s="16" t="s">
        <v>98</v>
      </c>
      <c r="N1136" s="16" t="s">
        <v>5980</v>
      </c>
      <c r="O1136" s="16"/>
      <c r="P1136" s="16" t="s">
        <v>5981</v>
      </c>
      <c r="Q1136" s="16" t="s">
        <v>100</v>
      </c>
    </row>
    <row r="1137" customFormat="false" ht="15" hidden="false" customHeight="false" outlineLevel="0" collapsed="false">
      <c r="A1137" s="16" t="n">
        <v>9445754</v>
      </c>
      <c r="B1137" s="16" t="s">
        <v>5985</v>
      </c>
      <c r="C1137" s="16" t="s">
        <v>5986</v>
      </c>
      <c r="D1137" s="16" t="s">
        <v>22</v>
      </c>
      <c r="E1137" s="16" t="s">
        <v>4235</v>
      </c>
      <c r="F1137" s="16" t="s">
        <v>2840</v>
      </c>
      <c r="G1137" s="16" t="s">
        <v>442</v>
      </c>
      <c r="H1137" s="16" t="s">
        <v>34</v>
      </c>
      <c r="I1137" s="16" t="s">
        <v>34</v>
      </c>
      <c r="J1137" s="16" t="s">
        <v>5987</v>
      </c>
      <c r="K1137" s="16" t="n">
        <v>52.4171257019043</v>
      </c>
      <c r="L1137" s="16" t="n">
        <v>-1.77435088157654</v>
      </c>
      <c r="M1137" s="16" t="s">
        <v>98</v>
      </c>
      <c r="N1137" s="16" t="s">
        <v>5988</v>
      </c>
      <c r="O1137" s="16"/>
      <c r="P1137" s="16" t="s">
        <v>5981</v>
      </c>
      <c r="Q1137" s="16" t="s">
        <v>100</v>
      </c>
    </row>
    <row r="1138" customFormat="false" ht="15" hidden="false" customHeight="false" outlineLevel="0" collapsed="false">
      <c r="A1138" s="16" t="n">
        <v>9548866</v>
      </c>
      <c r="B1138" s="16" t="s">
        <v>5989</v>
      </c>
      <c r="C1138" s="16" t="s">
        <v>5990</v>
      </c>
      <c r="D1138" s="16" t="s">
        <v>22</v>
      </c>
      <c r="E1138" s="16" t="s">
        <v>4235</v>
      </c>
      <c r="F1138" s="16" t="s">
        <v>1482</v>
      </c>
      <c r="G1138" s="16" t="s">
        <v>2005</v>
      </c>
      <c r="H1138" s="16" t="s">
        <v>310</v>
      </c>
      <c r="I1138" s="16" t="s">
        <v>30</v>
      </c>
      <c r="J1138" s="16" t="s">
        <v>5991</v>
      </c>
      <c r="K1138" s="16" t="n">
        <v>50.9805641174316</v>
      </c>
      <c r="L1138" s="16" t="n">
        <v>-3.20822763442993</v>
      </c>
      <c r="M1138" s="16" t="s">
        <v>100</v>
      </c>
      <c r="N1138" s="16"/>
      <c r="O1138" s="16"/>
      <c r="P1138" s="16"/>
      <c r="Q1138" s="16" t="s">
        <v>100</v>
      </c>
    </row>
    <row r="1139" customFormat="false" ht="15" hidden="false" customHeight="false" outlineLevel="0" collapsed="false">
      <c r="A1139" s="16" t="n">
        <v>9653420</v>
      </c>
      <c r="B1139" s="16" t="s">
        <v>5992</v>
      </c>
      <c r="C1139" s="16" t="s">
        <v>5993</v>
      </c>
      <c r="D1139" s="16" t="s">
        <v>22</v>
      </c>
      <c r="E1139" s="16" t="s">
        <v>4235</v>
      </c>
      <c r="F1139" s="16" t="s">
        <v>1714</v>
      </c>
      <c r="G1139" s="16" t="s">
        <v>5994</v>
      </c>
      <c r="H1139" s="16" t="s">
        <v>254</v>
      </c>
      <c r="I1139" s="16" t="s">
        <v>32</v>
      </c>
      <c r="J1139" s="16" t="s">
        <v>5995</v>
      </c>
      <c r="K1139" s="16" t="n">
        <v>51.9637641906738</v>
      </c>
      <c r="L1139" s="16" t="n">
        <v>1.35595417022705</v>
      </c>
      <c r="M1139" s="16" t="s">
        <v>100</v>
      </c>
      <c r="N1139" s="16"/>
      <c r="O1139" s="16"/>
      <c r="P1139" s="16"/>
      <c r="Q1139" s="16" t="s">
        <v>100</v>
      </c>
    </row>
    <row r="1140" customFormat="false" ht="15" hidden="false" customHeight="false" outlineLevel="0" collapsed="false">
      <c r="A1140" s="16" t="n">
        <v>9653501</v>
      </c>
      <c r="B1140" s="16" t="s">
        <v>5996</v>
      </c>
      <c r="C1140" s="16" t="s">
        <v>5997</v>
      </c>
      <c r="D1140" s="16" t="s">
        <v>22</v>
      </c>
      <c r="E1140" s="16" t="s">
        <v>4235</v>
      </c>
      <c r="F1140" s="16" t="s">
        <v>1642</v>
      </c>
      <c r="G1140" s="16" t="s">
        <v>3020</v>
      </c>
      <c r="H1140" s="16" t="s">
        <v>54</v>
      </c>
      <c r="I1140" s="16" t="s">
        <v>35</v>
      </c>
      <c r="J1140" s="16" t="s">
        <v>5998</v>
      </c>
      <c r="K1140" s="16" t="n">
        <v>54.3447494506836</v>
      </c>
      <c r="L1140" s="16" t="n">
        <v>-1.43217742443085</v>
      </c>
      <c r="M1140" s="16" t="s">
        <v>100</v>
      </c>
      <c r="N1140" s="16"/>
      <c r="O1140" s="16"/>
      <c r="P1140" s="16"/>
      <c r="Q1140" s="16" t="s">
        <v>100</v>
      </c>
    </row>
    <row r="1141" customFormat="false" ht="15" hidden="false" customHeight="false" outlineLevel="0" collapsed="false">
      <c r="A1141" s="16" t="n">
        <v>9653502</v>
      </c>
      <c r="B1141" s="16" t="s">
        <v>5999</v>
      </c>
      <c r="C1141" s="16" t="s">
        <v>6000</v>
      </c>
      <c r="D1141" s="16" t="s">
        <v>22</v>
      </c>
      <c r="E1141" s="16" t="s">
        <v>4235</v>
      </c>
      <c r="F1141" s="16" t="s">
        <v>1642</v>
      </c>
      <c r="G1141" s="16" t="s">
        <v>6001</v>
      </c>
      <c r="H1141" s="16" t="s">
        <v>54</v>
      </c>
      <c r="I1141" s="16" t="s">
        <v>35</v>
      </c>
      <c r="J1141" s="16" t="s">
        <v>6002</v>
      </c>
      <c r="K1141" s="16" t="n">
        <v>54.2316818237305</v>
      </c>
      <c r="L1141" s="16" t="n">
        <v>-1.34237551689148</v>
      </c>
      <c r="M1141" s="16" t="s">
        <v>100</v>
      </c>
      <c r="N1141" s="16"/>
      <c r="O1141" s="16"/>
      <c r="P1141" s="16"/>
      <c r="Q1141" s="16" t="s">
        <v>100</v>
      </c>
    </row>
    <row r="1142" customFormat="false" ht="15" hidden="false" customHeight="false" outlineLevel="0" collapsed="false">
      <c r="A1142" s="16" t="n">
        <v>9759044</v>
      </c>
      <c r="B1142" s="16" t="s">
        <v>6003</v>
      </c>
      <c r="C1142" s="16" t="s">
        <v>6004</v>
      </c>
      <c r="D1142" s="16" t="s">
        <v>23</v>
      </c>
      <c r="E1142" s="16" t="s">
        <v>4235</v>
      </c>
      <c r="F1142" s="16" t="s">
        <v>5764</v>
      </c>
      <c r="G1142" s="16" t="s">
        <v>1041</v>
      </c>
      <c r="H1142" s="16" t="s">
        <v>47</v>
      </c>
      <c r="I1142" s="16" t="s">
        <v>31</v>
      </c>
      <c r="J1142" s="16" t="s">
        <v>6005</v>
      </c>
      <c r="K1142" s="16" t="n">
        <v>53.6472549438477</v>
      </c>
      <c r="L1142" s="16" t="n">
        <v>-2.72814989089966</v>
      </c>
      <c r="M1142" s="16" t="s">
        <v>100</v>
      </c>
      <c r="N1142" s="16"/>
      <c r="O1142" s="16"/>
      <c r="P1142" s="16"/>
      <c r="Q1142" s="16" t="s">
        <v>100</v>
      </c>
    </row>
    <row r="1143" customFormat="false" ht="15" hidden="false" customHeight="false" outlineLevel="0" collapsed="false">
      <c r="A1143" s="16" t="n">
        <v>9759163</v>
      </c>
      <c r="B1143" s="16" t="s">
        <v>6006</v>
      </c>
      <c r="C1143" s="16" t="s">
        <v>6007</v>
      </c>
      <c r="D1143" s="16" t="s">
        <v>23</v>
      </c>
      <c r="E1143" s="16" t="s">
        <v>4235</v>
      </c>
      <c r="F1143" s="16" t="s">
        <v>6008</v>
      </c>
      <c r="G1143" s="16" t="s">
        <v>1922</v>
      </c>
      <c r="H1143" s="16" t="s">
        <v>762</v>
      </c>
      <c r="I1143" s="16" t="s">
        <v>35</v>
      </c>
      <c r="J1143" s="16" t="s">
        <v>6009</v>
      </c>
      <c r="K1143" s="16" t="n">
        <v>53.4280433654785</v>
      </c>
      <c r="L1143" s="16" t="n">
        <v>-1.34621548652649</v>
      </c>
      <c r="M1143" s="16" t="s">
        <v>100</v>
      </c>
      <c r="N1143" s="16"/>
      <c r="O1143" s="16"/>
      <c r="P1143" s="16"/>
      <c r="Q1143" s="16" t="s">
        <v>100</v>
      </c>
    </row>
    <row r="1144" customFormat="false" ht="15" hidden="false" customHeight="false" outlineLevel="0" collapsed="false">
      <c r="A1144" s="16" t="n">
        <v>9759367</v>
      </c>
      <c r="B1144" s="16" t="s">
        <v>6010</v>
      </c>
      <c r="C1144" s="16" t="s">
        <v>1328</v>
      </c>
      <c r="D1144" s="16" t="s">
        <v>22</v>
      </c>
      <c r="E1144" s="16" t="s">
        <v>4235</v>
      </c>
      <c r="F1144" s="16" t="s">
        <v>2809</v>
      </c>
      <c r="G1144" s="16" t="s">
        <v>5974</v>
      </c>
      <c r="H1144" s="16" t="s">
        <v>285</v>
      </c>
      <c r="I1144" s="16" t="s">
        <v>34</v>
      </c>
      <c r="J1144" s="16" t="s">
        <v>5975</v>
      </c>
      <c r="K1144" s="16" t="n">
        <v>52.6859397888184</v>
      </c>
      <c r="L1144" s="16" t="n">
        <v>-1.81545579433441</v>
      </c>
      <c r="M1144" s="16" t="s">
        <v>100</v>
      </c>
      <c r="N1144" s="16"/>
      <c r="O1144" s="16"/>
      <c r="P1144" s="16"/>
      <c r="Q1144" s="16" t="s">
        <v>100</v>
      </c>
    </row>
    <row r="1145" customFormat="false" ht="15" hidden="false" customHeight="false" outlineLevel="0" collapsed="false">
      <c r="A1145" s="16" t="n">
        <v>9759368</v>
      </c>
      <c r="B1145" s="16" t="s">
        <v>6011</v>
      </c>
      <c r="C1145" s="16" t="s">
        <v>6012</v>
      </c>
      <c r="D1145" s="16" t="s">
        <v>22</v>
      </c>
      <c r="E1145" s="16" t="s">
        <v>4235</v>
      </c>
      <c r="F1145" s="16" t="s">
        <v>2809</v>
      </c>
      <c r="G1145" s="16" t="s">
        <v>4237</v>
      </c>
      <c r="H1145" s="16" t="s">
        <v>285</v>
      </c>
      <c r="I1145" s="16" t="s">
        <v>34</v>
      </c>
      <c r="J1145" s="16" t="s">
        <v>6013</v>
      </c>
      <c r="K1145" s="16" t="n">
        <v>53.0067558288574</v>
      </c>
      <c r="L1145" s="16" t="n">
        <v>-2.19947671890259</v>
      </c>
      <c r="M1145" s="16" t="s">
        <v>100</v>
      </c>
      <c r="N1145" s="16"/>
      <c r="O1145" s="16"/>
      <c r="P1145" s="16"/>
      <c r="Q1145" s="16" t="s">
        <v>100</v>
      </c>
    </row>
    <row r="1146" customFormat="false" ht="15" hidden="false" customHeight="false" outlineLevel="0" collapsed="false">
      <c r="A1146" s="16" t="n">
        <v>9759462</v>
      </c>
      <c r="B1146" s="16" t="s">
        <v>6014</v>
      </c>
      <c r="C1146" s="16" t="s">
        <v>6015</v>
      </c>
      <c r="D1146" s="16" t="s">
        <v>22</v>
      </c>
      <c r="E1146" s="16" t="s">
        <v>4235</v>
      </c>
      <c r="F1146" s="16" t="s">
        <v>2809</v>
      </c>
      <c r="G1146" s="16" t="s">
        <v>6016</v>
      </c>
      <c r="H1146" s="16" t="s">
        <v>285</v>
      </c>
      <c r="I1146" s="16" t="s">
        <v>34</v>
      </c>
      <c r="J1146" s="16" t="s">
        <v>6017</v>
      </c>
      <c r="K1146" s="16" t="n">
        <v>53.0415992736816</v>
      </c>
      <c r="L1146" s="16" t="n">
        <v>-2.24208521842957</v>
      </c>
      <c r="M1146" s="16" t="s">
        <v>100</v>
      </c>
      <c r="N1146" s="16"/>
      <c r="O1146" s="16"/>
      <c r="P1146" s="16"/>
      <c r="Q1146" s="16" t="s">
        <v>100</v>
      </c>
    </row>
    <row r="1147" customFormat="false" ht="15" hidden="false" customHeight="false" outlineLevel="0" collapsed="false">
      <c r="A1147" s="16" t="n">
        <v>9970086</v>
      </c>
      <c r="B1147" s="16" t="s">
        <v>6018</v>
      </c>
      <c r="C1147" s="16" t="s">
        <v>6019</v>
      </c>
      <c r="D1147" s="16" t="s">
        <v>23</v>
      </c>
      <c r="E1147" s="16" t="s">
        <v>4235</v>
      </c>
      <c r="F1147" s="16" t="s">
        <v>65</v>
      </c>
      <c r="G1147" s="16" t="s">
        <v>3718</v>
      </c>
      <c r="H1147" s="16" t="s">
        <v>2433</v>
      </c>
      <c r="I1147" s="16" t="s">
        <v>38</v>
      </c>
      <c r="J1147" s="16"/>
      <c r="K1147" s="16"/>
      <c r="L1147" s="16"/>
      <c r="M1147" s="16" t="s">
        <v>100</v>
      </c>
      <c r="N1147" s="16"/>
      <c r="O1147" s="16"/>
      <c r="P1147" s="16"/>
      <c r="Q1147" s="16" t="s">
        <v>100</v>
      </c>
    </row>
    <row r="1148" customFormat="false" ht="15" hidden="false" customHeight="false" outlineLevel="0" collapsed="false">
      <c r="A1148" s="16" t="n">
        <v>9970137</v>
      </c>
      <c r="B1148" s="16" t="s">
        <v>6020</v>
      </c>
      <c r="C1148" s="16" t="s">
        <v>6021</v>
      </c>
      <c r="D1148" s="16" t="s">
        <v>23</v>
      </c>
      <c r="E1148" s="16" t="s">
        <v>4235</v>
      </c>
      <c r="F1148" s="16" t="s">
        <v>6022</v>
      </c>
      <c r="G1148" s="16" t="s">
        <v>3242</v>
      </c>
      <c r="H1148" s="16" t="s">
        <v>47</v>
      </c>
      <c r="I1148" s="16" t="s">
        <v>31</v>
      </c>
      <c r="J1148" s="16" t="s">
        <v>6023</v>
      </c>
      <c r="K1148" s="16" t="n">
        <v>53.5285186767578</v>
      </c>
      <c r="L1148" s="16" t="n">
        <v>-2.12741708755493</v>
      </c>
      <c r="M1148" s="16" t="s">
        <v>100</v>
      </c>
      <c r="N1148" s="16"/>
      <c r="O1148" s="16"/>
      <c r="P1148" s="16"/>
      <c r="Q1148" s="16" t="s">
        <v>100</v>
      </c>
    </row>
    <row r="1149" customFormat="false" ht="15" hidden="false" customHeight="false" outlineLevel="0" collapsed="false">
      <c r="A1149" s="16" t="n">
        <v>10075366</v>
      </c>
      <c r="B1149" s="16" t="s">
        <v>6024</v>
      </c>
      <c r="C1149" s="16" t="s">
        <v>6025</v>
      </c>
      <c r="D1149" s="16" t="s">
        <v>22</v>
      </c>
      <c r="E1149" s="16" t="s">
        <v>4235</v>
      </c>
      <c r="F1149" s="16" t="s">
        <v>3348</v>
      </c>
      <c r="G1149" s="16" t="s">
        <v>151</v>
      </c>
      <c r="H1149" s="16" t="s">
        <v>152</v>
      </c>
      <c r="I1149" s="16" t="s">
        <v>32</v>
      </c>
      <c r="J1149" s="16" t="s">
        <v>6026</v>
      </c>
      <c r="K1149" s="16" t="n">
        <v>52.0122871398926</v>
      </c>
      <c r="L1149" s="16" t="n">
        <v>-0.511812329292297</v>
      </c>
      <c r="M1149" s="16" t="s">
        <v>100</v>
      </c>
      <c r="N1149" s="16"/>
      <c r="O1149" s="16"/>
      <c r="P1149" s="16"/>
      <c r="Q1149" s="16" t="s">
        <v>100</v>
      </c>
    </row>
    <row r="1150" customFormat="false" ht="15" hidden="false" customHeight="false" outlineLevel="0" collapsed="false">
      <c r="A1150" s="16" t="n">
        <v>10075471</v>
      </c>
      <c r="B1150" s="16" t="s">
        <v>6027</v>
      </c>
      <c r="C1150" s="16" t="s">
        <v>6028</v>
      </c>
      <c r="D1150" s="16" t="s">
        <v>22</v>
      </c>
      <c r="E1150" s="16" t="s">
        <v>4235</v>
      </c>
      <c r="F1150" s="16" t="s">
        <v>1684</v>
      </c>
      <c r="G1150" s="16" t="s">
        <v>1685</v>
      </c>
      <c r="H1150" s="16" t="s">
        <v>429</v>
      </c>
      <c r="I1150" s="16" t="s">
        <v>32</v>
      </c>
      <c r="J1150" s="16" t="s">
        <v>5935</v>
      </c>
      <c r="K1150" s="16" t="n">
        <v>52.7578201293945</v>
      </c>
      <c r="L1150" s="16" t="n">
        <v>0.447176158428192</v>
      </c>
      <c r="M1150" s="16" t="s">
        <v>100</v>
      </c>
      <c r="N1150" s="16"/>
      <c r="O1150" s="16"/>
      <c r="P1150" s="16"/>
      <c r="Q1150" s="16" t="s">
        <v>100</v>
      </c>
    </row>
    <row r="1151" customFormat="false" ht="15" hidden="false" customHeight="false" outlineLevel="0" collapsed="false">
      <c r="A1151" s="16" t="n">
        <v>10075654</v>
      </c>
      <c r="B1151" s="16" t="s">
        <v>6029</v>
      </c>
      <c r="C1151" s="16" t="s">
        <v>6030</v>
      </c>
      <c r="D1151" s="16" t="s">
        <v>23</v>
      </c>
      <c r="E1151" s="16" t="s">
        <v>4235</v>
      </c>
      <c r="F1151" s="16" t="s">
        <v>65</v>
      </c>
      <c r="G1151" s="16" t="s">
        <v>1192</v>
      </c>
      <c r="H1151" s="16" t="s">
        <v>694</v>
      </c>
      <c r="I1151" s="16" t="s">
        <v>36</v>
      </c>
      <c r="J1151" s="16" t="s">
        <v>6031</v>
      </c>
      <c r="K1151" s="16" t="n">
        <v>52.986457824707</v>
      </c>
      <c r="L1151" s="16" t="n">
        <v>-0.964079797267914</v>
      </c>
      <c r="M1151" s="16" t="s">
        <v>98</v>
      </c>
      <c r="N1151" s="16" t="s">
        <v>6032</v>
      </c>
      <c r="O1151" s="16"/>
      <c r="P1151" s="16" t="s">
        <v>6033</v>
      </c>
      <c r="Q1151" s="16" t="s">
        <v>100</v>
      </c>
    </row>
    <row r="1152" customFormat="false" ht="15" hidden="false" customHeight="false" outlineLevel="0" collapsed="false">
      <c r="A1152" s="16" t="n">
        <v>10075656</v>
      </c>
      <c r="B1152" s="16" t="s">
        <v>6034</v>
      </c>
      <c r="C1152" s="16" t="s">
        <v>6035</v>
      </c>
      <c r="D1152" s="16" t="s">
        <v>23</v>
      </c>
      <c r="E1152" s="16" t="s">
        <v>4235</v>
      </c>
      <c r="F1152" s="16" t="s">
        <v>65</v>
      </c>
      <c r="G1152" s="16" t="s">
        <v>706</v>
      </c>
      <c r="H1152" s="16" t="s">
        <v>34</v>
      </c>
      <c r="I1152" s="16" t="s">
        <v>34</v>
      </c>
      <c r="J1152" s="16" t="s">
        <v>6036</v>
      </c>
      <c r="K1152" s="16" t="n">
        <v>52.3846397399902</v>
      </c>
      <c r="L1152" s="16" t="n">
        <v>-1.94491839408875</v>
      </c>
      <c r="M1152" s="16" t="s">
        <v>98</v>
      </c>
      <c r="N1152" s="16" t="s">
        <v>6037</v>
      </c>
      <c r="O1152" s="16"/>
      <c r="P1152" s="16" t="s">
        <v>6038</v>
      </c>
      <c r="Q1152" s="16" t="s">
        <v>100</v>
      </c>
    </row>
    <row r="1153" customFormat="false" ht="15" hidden="false" customHeight="false" outlineLevel="0" collapsed="false">
      <c r="A1153" s="16" t="n">
        <v>10075671</v>
      </c>
      <c r="B1153" s="16" t="s">
        <v>6039</v>
      </c>
      <c r="C1153" s="16" t="s">
        <v>6040</v>
      </c>
      <c r="D1153" s="16" t="s">
        <v>23</v>
      </c>
      <c r="E1153" s="16" t="s">
        <v>4235</v>
      </c>
      <c r="F1153" s="16" t="s">
        <v>65</v>
      </c>
      <c r="G1153" s="16" t="s">
        <v>941</v>
      </c>
      <c r="H1153" s="16" t="s">
        <v>942</v>
      </c>
      <c r="I1153" s="16" t="s">
        <v>37</v>
      </c>
      <c r="J1153" s="16" t="s">
        <v>6041</v>
      </c>
      <c r="K1153" s="16" t="n">
        <v>54.5306282043457</v>
      </c>
      <c r="L1153" s="16" t="n">
        <v>-1.56847417354584</v>
      </c>
      <c r="M1153" s="16" t="s">
        <v>98</v>
      </c>
      <c r="N1153" s="16" t="s">
        <v>6042</v>
      </c>
      <c r="O1153" s="16"/>
      <c r="P1153" s="16" t="s">
        <v>6043</v>
      </c>
      <c r="Q1153" s="16" t="s">
        <v>100</v>
      </c>
    </row>
    <row r="1154" customFormat="false" ht="15" hidden="false" customHeight="false" outlineLevel="0" collapsed="false">
      <c r="A1154" s="16" t="n">
        <v>10075674</v>
      </c>
      <c r="B1154" s="16" t="s">
        <v>6044</v>
      </c>
      <c r="C1154" s="16" t="s">
        <v>6045</v>
      </c>
      <c r="D1154" s="16" t="s">
        <v>23</v>
      </c>
      <c r="E1154" s="16" t="s">
        <v>4235</v>
      </c>
      <c r="F1154" s="16" t="s">
        <v>65</v>
      </c>
      <c r="G1154" s="16" t="s">
        <v>941</v>
      </c>
      <c r="H1154" s="16" t="s">
        <v>942</v>
      </c>
      <c r="I1154" s="16" t="s">
        <v>37</v>
      </c>
      <c r="J1154" s="16" t="s">
        <v>6046</v>
      </c>
      <c r="K1154" s="16" t="n">
        <v>54.4813537597656</v>
      </c>
      <c r="L1154" s="16" t="n">
        <v>-1.50799775123596</v>
      </c>
      <c r="M1154" s="16" t="s">
        <v>100</v>
      </c>
      <c r="N1154" s="16"/>
      <c r="O1154" s="16"/>
      <c r="P1154" s="16"/>
      <c r="Q1154" s="16" t="s">
        <v>100</v>
      </c>
    </row>
    <row r="1155" customFormat="false" ht="15" hidden="false" customHeight="false" outlineLevel="0" collapsed="false">
      <c r="A1155" s="16" t="n">
        <v>10398514</v>
      </c>
      <c r="B1155" s="16" t="s">
        <v>6047</v>
      </c>
      <c r="C1155" s="16" t="s">
        <v>6048</v>
      </c>
      <c r="D1155" s="16" t="s">
        <v>23</v>
      </c>
      <c r="E1155" s="16" t="s">
        <v>4235</v>
      </c>
      <c r="F1155" s="16" t="s">
        <v>6049</v>
      </c>
      <c r="G1155" s="16" t="s">
        <v>1156</v>
      </c>
      <c r="H1155" s="16" t="s">
        <v>330</v>
      </c>
      <c r="I1155" s="16" t="s">
        <v>29</v>
      </c>
      <c r="J1155" s="16" t="s">
        <v>5453</v>
      </c>
      <c r="K1155" s="16" t="n">
        <v>52.0533409118652</v>
      </c>
      <c r="L1155" s="16" t="n">
        <v>-1.33097910881043</v>
      </c>
      <c r="M1155" s="16" t="s">
        <v>100</v>
      </c>
      <c r="N1155" s="16"/>
      <c r="O1155" s="16"/>
      <c r="P1155" s="16"/>
      <c r="Q1155" s="16" t="s">
        <v>100</v>
      </c>
    </row>
    <row r="1156" customFormat="false" ht="15" hidden="false" customHeight="false" outlineLevel="0" collapsed="false">
      <c r="A1156" s="16" t="n">
        <v>10398515</v>
      </c>
      <c r="B1156" s="16" t="s">
        <v>6050</v>
      </c>
      <c r="C1156" s="16" t="s">
        <v>6051</v>
      </c>
      <c r="D1156" s="16" t="s">
        <v>23</v>
      </c>
      <c r="E1156" s="16" t="s">
        <v>4235</v>
      </c>
      <c r="F1156" s="16" t="s">
        <v>6049</v>
      </c>
      <c r="G1156" s="16" t="s">
        <v>33</v>
      </c>
      <c r="H1156" s="16" t="s">
        <v>44</v>
      </c>
      <c r="I1156" s="16" t="s">
        <v>33</v>
      </c>
      <c r="J1156" s="16" t="s">
        <v>6052</v>
      </c>
      <c r="K1156" s="16" t="n">
        <v>51.556770324707</v>
      </c>
      <c r="L1156" s="16" t="n">
        <v>-0.177716881036758</v>
      </c>
      <c r="M1156" s="16" t="s">
        <v>100</v>
      </c>
      <c r="N1156" s="16"/>
      <c r="O1156" s="16"/>
      <c r="P1156" s="16"/>
      <c r="Q1156" s="16" t="s">
        <v>100</v>
      </c>
    </row>
    <row r="1157" customFormat="false" ht="15" hidden="false" customHeight="false" outlineLevel="0" collapsed="false">
      <c r="A1157" s="16" t="n">
        <v>10512701</v>
      </c>
      <c r="B1157" s="16" t="s">
        <v>6053</v>
      </c>
      <c r="C1157" s="16" t="s">
        <v>6054</v>
      </c>
      <c r="D1157" s="16" t="s">
        <v>23</v>
      </c>
      <c r="E1157" s="16" t="s">
        <v>4235</v>
      </c>
      <c r="F1157" s="16" t="s">
        <v>5621</v>
      </c>
      <c r="G1157" s="16" t="s">
        <v>6055</v>
      </c>
      <c r="H1157" s="16" t="s">
        <v>2433</v>
      </c>
      <c r="I1157" s="16" t="s">
        <v>38</v>
      </c>
      <c r="J1157" s="16" t="s">
        <v>6056</v>
      </c>
      <c r="K1157" s="16" t="n">
        <v>52.4578552246094</v>
      </c>
      <c r="L1157" s="16" t="n">
        <v>-1.19778573513031</v>
      </c>
      <c r="M1157" s="16" t="s">
        <v>98</v>
      </c>
      <c r="N1157" s="16" t="s">
        <v>6057</v>
      </c>
      <c r="O1157" s="16" t="s">
        <v>6058</v>
      </c>
      <c r="P1157" s="16" t="s">
        <v>6059</v>
      </c>
      <c r="Q1157" s="16" t="s">
        <v>100</v>
      </c>
    </row>
    <row r="1158" customFormat="false" ht="15" hidden="false" customHeight="false" outlineLevel="0" collapsed="false">
      <c r="A1158" s="16" t="n">
        <v>10565314</v>
      </c>
      <c r="B1158" s="16" t="s">
        <v>6060</v>
      </c>
      <c r="C1158" s="16" t="s">
        <v>6061</v>
      </c>
      <c r="D1158" s="16" t="s">
        <v>22</v>
      </c>
      <c r="E1158" s="16" t="s">
        <v>4235</v>
      </c>
      <c r="F1158" s="16" t="s">
        <v>6062</v>
      </c>
      <c r="G1158" s="16" t="s">
        <v>1844</v>
      </c>
      <c r="H1158" s="16" t="s">
        <v>279</v>
      </c>
      <c r="I1158" s="16" t="s">
        <v>37</v>
      </c>
      <c r="J1158" s="16" t="s">
        <v>1845</v>
      </c>
      <c r="K1158" s="16" t="n">
        <v>54.9666252136231</v>
      </c>
      <c r="L1158" s="16" t="n">
        <v>-1.50126016139984</v>
      </c>
      <c r="M1158" s="16" t="s">
        <v>100</v>
      </c>
      <c r="N1158" s="16"/>
      <c r="O1158" s="16"/>
      <c r="P1158" s="16"/>
      <c r="Q1158" s="16" t="s">
        <v>100</v>
      </c>
    </row>
    <row r="1159" customFormat="false" ht="15" hidden="false" customHeight="false" outlineLevel="0" collapsed="false">
      <c r="A1159" s="16" t="n">
        <v>10565381</v>
      </c>
      <c r="B1159" s="16" t="s">
        <v>6063</v>
      </c>
      <c r="C1159" s="16" t="s">
        <v>6064</v>
      </c>
      <c r="D1159" s="16" t="s">
        <v>22</v>
      </c>
      <c r="E1159" s="16" t="s">
        <v>4235</v>
      </c>
      <c r="F1159" s="16" t="s">
        <v>2398</v>
      </c>
      <c r="G1159" s="16" t="s">
        <v>6065</v>
      </c>
      <c r="H1159" s="16" t="s">
        <v>2433</v>
      </c>
      <c r="I1159" s="16" t="s">
        <v>38</v>
      </c>
      <c r="J1159" s="16" t="s">
        <v>6066</v>
      </c>
      <c r="K1159" s="16" t="n">
        <v>53.0489768981934</v>
      </c>
      <c r="L1159" s="16" t="n">
        <v>-3.01409506797791</v>
      </c>
      <c r="M1159" s="16" t="s">
        <v>100</v>
      </c>
      <c r="N1159" s="16"/>
      <c r="O1159" s="16"/>
      <c r="P1159" s="16"/>
      <c r="Q1159" s="16" t="s">
        <v>100</v>
      </c>
    </row>
    <row r="1160" customFormat="false" ht="15" hidden="false" customHeight="false" outlineLevel="0" collapsed="false">
      <c r="A1160" s="16" t="n">
        <v>10617463</v>
      </c>
      <c r="B1160" s="16" t="s">
        <v>6067</v>
      </c>
      <c r="C1160" s="16" t="s">
        <v>2728</v>
      </c>
      <c r="D1160" s="16" t="s">
        <v>22</v>
      </c>
      <c r="E1160" s="16" t="s">
        <v>4235</v>
      </c>
      <c r="F1160" s="16" t="s">
        <v>2987</v>
      </c>
      <c r="G1160" s="16" t="s">
        <v>706</v>
      </c>
      <c r="H1160" s="16" t="s">
        <v>34</v>
      </c>
      <c r="I1160" s="16" t="s">
        <v>34</v>
      </c>
      <c r="J1160" s="16" t="s">
        <v>6068</v>
      </c>
      <c r="K1160" s="16" t="n">
        <v>52.4842338562012</v>
      </c>
      <c r="L1160" s="16" t="n">
        <v>-1.8933732509613</v>
      </c>
      <c r="M1160" s="16" t="s">
        <v>100</v>
      </c>
      <c r="N1160" s="16"/>
      <c r="O1160" s="16"/>
      <c r="P1160" s="16"/>
      <c r="Q1160" s="16" t="s">
        <v>100</v>
      </c>
    </row>
    <row r="1161" customFormat="false" ht="15" hidden="false" customHeight="false" outlineLevel="0" collapsed="false">
      <c r="A1161" s="16" t="n">
        <v>10617466</v>
      </c>
      <c r="B1161" s="16" t="s">
        <v>6069</v>
      </c>
      <c r="C1161" s="16" t="s">
        <v>6070</v>
      </c>
      <c r="D1161" s="16" t="s">
        <v>22</v>
      </c>
      <c r="E1161" s="16" t="s">
        <v>4235</v>
      </c>
      <c r="F1161" s="16" t="s">
        <v>2987</v>
      </c>
      <c r="G1161" s="16" t="s">
        <v>329</v>
      </c>
      <c r="H1161" s="16" t="s">
        <v>330</v>
      </c>
      <c r="I1161" s="16" t="s">
        <v>29</v>
      </c>
      <c r="J1161" s="16" t="s">
        <v>2998</v>
      </c>
      <c r="K1161" s="16" t="n">
        <v>51.7638740539551</v>
      </c>
      <c r="L1161" s="16" t="n">
        <v>-1.21979200839996</v>
      </c>
      <c r="M1161" s="16" t="s">
        <v>100</v>
      </c>
      <c r="N1161" s="16"/>
      <c r="O1161" s="16"/>
      <c r="P1161" s="16"/>
      <c r="Q1161" s="16" t="s">
        <v>100</v>
      </c>
    </row>
    <row r="1162" customFormat="false" ht="15" hidden="false" customHeight="false" outlineLevel="0" collapsed="false">
      <c r="A1162" s="16" t="n">
        <v>10617482</v>
      </c>
      <c r="B1162" s="16" t="s">
        <v>6071</v>
      </c>
      <c r="C1162" s="16" t="s">
        <v>6072</v>
      </c>
      <c r="D1162" s="16" t="s">
        <v>22</v>
      </c>
      <c r="E1162" s="16" t="s">
        <v>4235</v>
      </c>
      <c r="F1162" s="16" t="s">
        <v>3457</v>
      </c>
      <c r="G1162" s="16" t="s">
        <v>131</v>
      </c>
      <c r="H1162" s="16" t="s">
        <v>54</v>
      </c>
      <c r="I1162" s="16" t="s">
        <v>35</v>
      </c>
      <c r="J1162" s="16" t="s">
        <v>335</v>
      </c>
      <c r="K1162" s="16" t="n">
        <v>53.9747009277344</v>
      </c>
      <c r="L1162" s="16" t="n">
        <v>-1.07555985450745</v>
      </c>
      <c r="M1162" s="16" t="s">
        <v>100</v>
      </c>
      <c r="N1162" s="16"/>
      <c r="O1162" s="16"/>
      <c r="P1162" s="16"/>
      <c r="Q1162" s="16" t="s">
        <v>100</v>
      </c>
    </row>
    <row r="1163" customFormat="false" ht="15" hidden="false" customHeight="false" outlineLevel="0" collapsed="false">
      <c r="A1163" s="16" t="n">
        <v>10617567</v>
      </c>
      <c r="B1163" s="16" t="s">
        <v>6073</v>
      </c>
      <c r="C1163" s="16" t="s">
        <v>6074</v>
      </c>
      <c r="D1163" s="16" t="s">
        <v>22</v>
      </c>
      <c r="E1163" s="16" t="s">
        <v>4235</v>
      </c>
      <c r="F1163" s="16" t="s">
        <v>1987</v>
      </c>
      <c r="G1163" s="16" t="s">
        <v>6075</v>
      </c>
      <c r="H1163" s="16" t="s">
        <v>2433</v>
      </c>
      <c r="I1163" s="16" t="s">
        <v>38</v>
      </c>
      <c r="J1163" s="16" t="s">
        <v>6076</v>
      </c>
      <c r="K1163" s="16"/>
      <c r="L1163" s="16"/>
      <c r="M1163" s="16" t="s">
        <v>100</v>
      </c>
      <c r="N1163" s="16"/>
      <c r="O1163" s="16"/>
      <c r="P1163" s="16"/>
      <c r="Q1163" s="16" t="s">
        <v>100</v>
      </c>
    </row>
    <row r="1164" customFormat="false" ht="15" hidden="false" customHeight="false" outlineLevel="0" collapsed="false">
      <c r="A1164" s="16" t="n">
        <v>10617785</v>
      </c>
      <c r="B1164" s="16" t="s">
        <v>6077</v>
      </c>
      <c r="C1164" s="16" t="s">
        <v>6078</v>
      </c>
      <c r="D1164" s="16" t="s">
        <v>22</v>
      </c>
      <c r="E1164" s="16" t="s">
        <v>94</v>
      </c>
      <c r="F1164" s="16" t="s">
        <v>6079</v>
      </c>
      <c r="G1164" s="16" t="s">
        <v>3718</v>
      </c>
      <c r="H1164" s="16" t="s">
        <v>44</v>
      </c>
      <c r="I1164" s="16" t="s">
        <v>33</v>
      </c>
      <c r="J1164" s="16" t="s">
        <v>6080</v>
      </c>
      <c r="K1164" s="16" t="n">
        <v>51.6234436035156</v>
      </c>
      <c r="L1164" s="16" t="n">
        <v>-0.236807093024254</v>
      </c>
      <c r="M1164" s="16" t="s">
        <v>98</v>
      </c>
      <c r="N1164" s="16"/>
      <c r="O1164" s="16"/>
      <c r="P1164" s="16"/>
      <c r="Q1164" s="16" t="s">
        <v>100</v>
      </c>
    </row>
    <row r="1165" customFormat="false" ht="15" hidden="false" customHeight="false" outlineLevel="0" collapsed="false">
      <c r="A1165" s="16" t="n">
        <v>10749492</v>
      </c>
      <c r="B1165" s="16" t="s">
        <v>6081</v>
      </c>
      <c r="C1165" s="16" t="s">
        <v>6082</v>
      </c>
      <c r="D1165" s="16" t="s">
        <v>23</v>
      </c>
      <c r="E1165" s="16" t="s">
        <v>4235</v>
      </c>
      <c r="F1165" s="16" t="s">
        <v>6083</v>
      </c>
      <c r="G1165" s="16" t="s">
        <v>272</v>
      </c>
      <c r="H1165" s="16" t="s">
        <v>273</v>
      </c>
      <c r="I1165" s="16" t="s">
        <v>36</v>
      </c>
      <c r="J1165" s="16" t="s">
        <v>6084</v>
      </c>
      <c r="K1165" s="16" t="n">
        <v>52.6132049560547</v>
      </c>
      <c r="L1165" s="16" t="n">
        <v>-1.10255444049835</v>
      </c>
      <c r="M1165" s="16" t="s">
        <v>100</v>
      </c>
      <c r="N1165" s="16"/>
      <c r="O1165" s="16"/>
      <c r="P1165" s="16"/>
      <c r="Q1165" s="16" t="s">
        <v>100</v>
      </c>
    </row>
    <row r="1166" customFormat="false" ht="15" hidden="false" customHeight="false" outlineLevel="0" collapsed="false">
      <c r="A1166" s="16" t="n">
        <v>10775735</v>
      </c>
      <c r="B1166" s="16" t="s">
        <v>6085</v>
      </c>
      <c r="C1166" s="16" t="s">
        <v>6086</v>
      </c>
      <c r="D1166" s="16" t="s">
        <v>22</v>
      </c>
      <c r="E1166" s="16" t="s">
        <v>4235</v>
      </c>
      <c r="F1166" s="16" t="s">
        <v>1882</v>
      </c>
      <c r="G1166" s="16" t="s">
        <v>495</v>
      </c>
      <c r="H1166" s="16" t="s">
        <v>52</v>
      </c>
      <c r="I1166" s="16" t="s">
        <v>31</v>
      </c>
      <c r="J1166" s="16" t="s">
        <v>6087</v>
      </c>
      <c r="K1166" s="16" t="n">
        <v>53.4089279174805</v>
      </c>
      <c r="L1166" s="16" t="n">
        <v>-2.96700739860535</v>
      </c>
      <c r="M1166" s="16" t="s">
        <v>100</v>
      </c>
      <c r="N1166" s="16"/>
      <c r="O1166" s="16"/>
      <c r="P1166" s="16"/>
      <c r="Q1166" s="16" t="s">
        <v>100</v>
      </c>
    </row>
    <row r="1167" customFormat="false" ht="15" hidden="false" customHeight="false" outlineLevel="0" collapsed="false">
      <c r="A1167" s="16" t="n">
        <v>10775747</v>
      </c>
      <c r="B1167" s="16" t="s">
        <v>6088</v>
      </c>
      <c r="C1167" s="16" t="s">
        <v>6089</v>
      </c>
      <c r="D1167" s="16" t="s">
        <v>22</v>
      </c>
      <c r="E1167" s="16" t="s">
        <v>4235</v>
      </c>
      <c r="F1167" s="16" t="s">
        <v>1882</v>
      </c>
      <c r="G1167" s="16" t="s">
        <v>495</v>
      </c>
      <c r="H1167" s="16" t="s">
        <v>52</v>
      </c>
      <c r="I1167" s="16" t="s">
        <v>31</v>
      </c>
      <c r="J1167" s="16" t="s">
        <v>6090</v>
      </c>
      <c r="K1167" s="16" t="n">
        <v>53.4111557006836</v>
      </c>
      <c r="L1167" s="16" t="n">
        <v>-2.89797472953796</v>
      </c>
      <c r="M1167" s="16" t="s">
        <v>100</v>
      </c>
      <c r="N1167" s="16"/>
      <c r="O1167" s="16"/>
      <c r="P1167" s="16"/>
      <c r="Q1167" s="16" t="s">
        <v>100</v>
      </c>
    </row>
    <row r="1168" customFormat="false" ht="15" hidden="false" customHeight="false" outlineLevel="0" collapsed="false">
      <c r="A1168" s="16" t="n">
        <v>10775992</v>
      </c>
      <c r="B1168" s="16" t="s">
        <v>6091</v>
      </c>
      <c r="C1168" s="16" t="s">
        <v>6092</v>
      </c>
      <c r="D1168" s="16" t="s">
        <v>23</v>
      </c>
      <c r="E1168" s="16" t="s">
        <v>94</v>
      </c>
      <c r="F1168" s="16" t="s">
        <v>2847</v>
      </c>
      <c r="G1168" s="16" t="s">
        <v>3718</v>
      </c>
      <c r="H1168" s="16" t="s">
        <v>44</v>
      </c>
      <c r="I1168" s="16" t="s">
        <v>33</v>
      </c>
      <c r="J1168" s="16" t="s">
        <v>6093</v>
      </c>
      <c r="K1168" s="16" t="n">
        <v>51.5216827392578</v>
      </c>
      <c r="L1168" s="16" t="n">
        <v>-0.133553206920624</v>
      </c>
      <c r="M1168" s="16" t="s">
        <v>98</v>
      </c>
      <c r="N1168" s="16"/>
      <c r="O1168" s="16"/>
      <c r="P1168" s="16"/>
      <c r="Q1168" s="16" t="s">
        <v>100</v>
      </c>
    </row>
    <row r="1169" customFormat="false" ht="15" hidden="false" customHeight="false" outlineLevel="0" collapsed="false">
      <c r="A1169" s="16" t="n">
        <v>10776494</v>
      </c>
      <c r="B1169" s="16" t="s">
        <v>6094</v>
      </c>
      <c r="C1169" s="16" t="s">
        <v>6095</v>
      </c>
      <c r="D1169" s="16" t="s">
        <v>23</v>
      </c>
      <c r="E1169" s="16" t="s">
        <v>4235</v>
      </c>
      <c r="F1169" s="16" t="s">
        <v>1001</v>
      </c>
      <c r="G1169" s="16" t="s">
        <v>706</v>
      </c>
      <c r="H1169" s="16" t="s">
        <v>34</v>
      </c>
      <c r="I1169" s="16" t="s">
        <v>34</v>
      </c>
      <c r="J1169" s="16" t="s">
        <v>6096</v>
      </c>
      <c r="K1169" s="16" t="n">
        <v>52.4518051147461</v>
      </c>
      <c r="L1169" s="16" t="n">
        <v>-1.91225671768189</v>
      </c>
      <c r="M1169" s="16" t="s">
        <v>100</v>
      </c>
      <c r="N1169" s="16"/>
      <c r="O1169" s="16"/>
      <c r="P1169" s="16"/>
      <c r="Q1169" s="16" t="s">
        <v>100</v>
      </c>
    </row>
    <row r="1170" customFormat="false" ht="15" hidden="false" customHeight="false" outlineLevel="0" collapsed="false">
      <c r="A1170" s="16" t="n">
        <v>10802752</v>
      </c>
      <c r="B1170" s="16" t="s">
        <v>6097</v>
      </c>
      <c r="C1170" s="16" t="s">
        <v>6098</v>
      </c>
      <c r="D1170" s="16" t="s">
        <v>22</v>
      </c>
      <c r="E1170" s="16" t="s">
        <v>94</v>
      </c>
      <c r="F1170" s="16" t="s">
        <v>6099</v>
      </c>
      <c r="G1170" s="16" t="s">
        <v>6100</v>
      </c>
      <c r="H1170" s="16" t="s">
        <v>694</v>
      </c>
      <c r="I1170" s="16" t="s">
        <v>36</v>
      </c>
      <c r="J1170" s="16" t="s">
        <v>6101</v>
      </c>
      <c r="K1170" s="16" t="n">
        <v>52.9577255249023</v>
      </c>
      <c r="L1170" s="16" t="n">
        <v>-1.23340559005737</v>
      </c>
      <c r="M1170" s="16" t="s">
        <v>98</v>
      </c>
      <c r="N1170" s="16" t="s">
        <v>6102</v>
      </c>
      <c r="O1170" s="16" t="s">
        <v>6103</v>
      </c>
      <c r="P1170" s="16" t="s">
        <v>6104</v>
      </c>
      <c r="Q1170" s="16" t="s">
        <v>100</v>
      </c>
    </row>
    <row r="1171" customFormat="false" ht="15" hidden="false" customHeight="false" outlineLevel="0" collapsed="false">
      <c r="A1171" s="16" t="n">
        <v>10802753</v>
      </c>
      <c r="B1171" s="16" t="s">
        <v>6105</v>
      </c>
      <c r="C1171" s="16" t="s">
        <v>6106</v>
      </c>
      <c r="D1171" s="16" t="s">
        <v>22</v>
      </c>
      <c r="E1171" s="16" t="s">
        <v>94</v>
      </c>
      <c r="F1171" s="16" t="s">
        <v>6099</v>
      </c>
      <c r="G1171" s="16" t="s">
        <v>1192</v>
      </c>
      <c r="H1171" s="16" t="s">
        <v>694</v>
      </c>
      <c r="I1171" s="16" t="s">
        <v>36</v>
      </c>
      <c r="J1171" s="16" t="s">
        <v>6107</v>
      </c>
      <c r="K1171" s="16" t="n">
        <v>52.9526748657227</v>
      </c>
      <c r="L1171" s="16" t="n">
        <v>-0.952130675315857</v>
      </c>
      <c r="M1171" s="16" t="s">
        <v>98</v>
      </c>
      <c r="N1171" s="16" t="s">
        <v>6102</v>
      </c>
      <c r="O1171" s="16" t="s">
        <v>6103</v>
      </c>
      <c r="P1171" s="16" t="s">
        <v>6104</v>
      </c>
      <c r="Q1171" s="16" t="s">
        <v>100</v>
      </c>
    </row>
    <row r="1172" customFormat="false" ht="15" hidden="false" customHeight="false" outlineLevel="0" collapsed="false">
      <c r="A1172" s="16" t="n">
        <v>10802821</v>
      </c>
      <c r="B1172" s="16" t="s">
        <v>6108</v>
      </c>
      <c r="C1172" s="16" t="s">
        <v>6109</v>
      </c>
      <c r="D1172" s="16" t="s">
        <v>22</v>
      </c>
      <c r="E1172" s="16" t="s">
        <v>4235</v>
      </c>
      <c r="F1172" s="16" t="s">
        <v>3216</v>
      </c>
      <c r="G1172" s="16" t="s">
        <v>3194</v>
      </c>
      <c r="H1172" s="16" t="s">
        <v>52</v>
      </c>
      <c r="I1172" s="16" t="s">
        <v>31</v>
      </c>
      <c r="J1172" s="16" t="s">
        <v>6110</v>
      </c>
      <c r="K1172" s="16" t="n">
        <v>53.640308380127</v>
      </c>
      <c r="L1172" s="16" t="n">
        <v>-2.98345613479614</v>
      </c>
      <c r="M1172" s="16" t="s">
        <v>98</v>
      </c>
      <c r="N1172" s="16" t="s">
        <v>3218</v>
      </c>
      <c r="O1172" s="16"/>
      <c r="P1172" s="16"/>
      <c r="Q1172" s="16" t="s">
        <v>100</v>
      </c>
    </row>
    <row r="1173" customFormat="false" ht="15" hidden="false" customHeight="false" outlineLevel="0" collapsed="false">
      <c r="A1173" s="16" t="n">
        <v>10802841</v>
      </c>
      <c r="B1173" s="16" t="s">
        <v>6111</v>
      </c>
      <c r="C1173" s="16" t="s">
        <v>6112</v>
      </c>
      <c r="D1173" s="16" t="s">
        <v>23</v>
      </c>
      <c r="E1173" s="16" t="s">
        <v>4235</v>
      </c>
      <c r="F1173" s="16" t="s">
        <v>6113</v>
      </c>
      <c r="G1173" s="16" t="s">
        <v>324</v>
      </c>
      <c r="H1173" s="16" t="s">
        <v>34</v>
      </c>
      <c r="I1173" s="16" t="s">
        <v>34</v>
      </c>
      <c r="J1173" s="16" t="s">
        <v>6114</v>
      </c>
      <c r="K1173" s="16" t="n">
        <v>52.5648002624512</v>
      </c>
      <c r="L1173" s="16" t="n">
        <v>-2.14712762832642</v>
      </c>
      <c r="M1173" s="16" t="s">
        <v>100</v>
      </c>
      <c r="N1173" s="16"/>
      <c r="O1173" s="16"/>
      <c r="P1173" s="16"/>
      <c r="Q1173" s="16" t="s">
        <v>100</v>
      </c>
    </row>
    <row r="1174" customFormat="false" ht="15" hidden="false" customHeight="false" outlineLevel="0" collapsed="false">
      <c r="A1174" s="16" t="n">
        <v>10802905</v>
      </c>
      <c r="B1174" s="16" t="s">
        <v>6115</v>
      </c>
      <c r="C1174" s="16" t="s">
        <v>6116</v>
      </c>
      <c r="D1174" s="16" t="s">
        <v>22</v>
      </c>
      <c r="E1174" s="16" t="s">
        <v>4235</v>
      </c>
      <c r="F1174" s="16" t="s">
        <v>6117</v>
      </c>
      <c r="G1174" s="16" t="s">
        <v>3307</v>
      </c>
      <c r="H1174" s="16" t="s">
        <v>57</v>
      </c>
      <c r="I1174" s="16" t="s">
        <v>32</v>
      </c>
      <c r="J1174" s="16" t="s">
        <v>6118</v>
      </c>
      <c r="K1174" s="16" t="n">
        <v>51.683650970459</v>
      </c>
      <c r="L1174" s="16" t="n">
        <v>-0.391191691160202</v>
      </c>
      <c r="M1174" s="16" t="s">
        <v>100</v>
      </c>
      <c r="N1174" s="16"/>
      <c r="O1174" s="16"/>
      <c r="P1174" s="16"/>
      <c r="Q1174" s="16" t="s">
        <v>100</v>
      </c>
    </row>
    <row r="1175" customFormat="false" ht="15" hidden="false" customHeight="false" outlineLevel="0" collapsed="false">
      <c r="A1175" s="16" t="n">
        <v>10829228</v>
      </c>
      <c r="B1175" s="16" t="s">
        <v>6119</v>
      </c>
      <c r="C1175" s="16" t="s">
        <v>6120</v>
      </c>
      <c r="D1175" s="16" t="s">
        <v>23</v>
      </c>
      <c r="E1175" s="16" t="s">
        <v>4235</v>
      </c>
      <c r="F1175" s="16" t="s">
        <v>6121</v>
      </c>
      <c r="G1175" s="16" t="s">
        <v>1520</v>
      </c>
      <c r="H1175" s="16" t="s">
        <v>52</v>
      </c>
      <c r="I1175" s="16" t="s">
        <v>31</v>
      </c>
      <c r="J1175" s="16" t="s">
        <v>6122</v>
      </c>
      <c r="K1175" s="16" t="n">
        <v>53.4254264831543</v>
      </c>
      <c r="L1175" s="16" t="n">
        <v>-2.77959752082825</v>
      </c>
      <c r="M1175" s="16" t="s">
        <v>100</v>
      </c>
      <c r="N1175" s="16"/>
      <c r="O1175" s="16"/>
      <c r="P1175" s="16"/>
      <c r="Q1175" s="16" t="s">
        <v>100</v>
      </c>
    </row>
    <row r="1176" customFormat="false" ht="15" hidden="false" customHeight="false" outlineLevel="0" collapsed="false">
      <c r="A1176" s="16" t="n">
        <v>10855530</v>
      </c>
      <c r="B1176" s="16" t="s">
        <v>6123</v>
      </c>
      <c r="C1176" s="16" t="s">
        <v>6124</v>
      </c>
      <c r="D1176" s="16" t="s">
        <v>22</v>
      </c>
      <c r="E1176" s="16" t="s">
        <v>4235</v>
      </c>
      <c r="F1176" s="16" t="s">
        <v>2591</v>
      </c>
      <c r="G1176" s="16" t="s">
        <v>6125</v>
      </c>
      <c r="H1176" s="16" t="s">
        <v>2585</v>
      </c>
      <c r="I1176" s="16" t="s">
        <v>31</v>
      </c>
      <c r="J1176" s="16" t="s">
        <v>6126</v>
      </c>
      <c r="K1176" s="16" t="n">
        <v>54.530200958252</v>
      </c>
      <c r="L1176" s="16" t="n">
        <v>-3.56316018104553</v>
      </c>
      <c r="M1176" s="16" t="s">
        <v>100</v>
      </c>
      <c r="N1176" s="16"/>
      <c r="O1176" s="16"/>
      <c r="P1176" s="16"/>
      <c r="Q1176" s="16" t="s">
        <v>100</v>
      </c>
    </row>
    <row r="1177" customFormat="false" ht="15" hidden="false" customHeight="false" outlineLevel="0" collapsed="false">
      <c r="A1177" s="16" t="n">
        <v>10855561</v>
      </c>
      <c r="B1177" s="16" t="s">
        <v>6127</v>
      </c>
      <c r="C1177" s="16" t="s">
        <v>6128</v>
      </c>
      <c r="D1177" s="16" t="s">
        <v>22</v>
      </c>
      <c r="E1177" s="16" t="s">
        <v>4235</v>
      </c>
      <c r="F1177" s="16" t="s">
        <v>2317</v>
      </c>
      <c r="G1177" s="16" t="s">
        <v>6129</v>
      </c>
      <c r="H1177" s="16" t="s">
        <v>52</v>
      </c>
      <c r="I1177" s="16" t="s">
        <v>31</v>
      </c>
      <c r="J1177" s="16" t="s">
        <v>6130</v>
      </c>
      <c r="K1177" s="16" t="n">
        <v>53.3740577697754</v>
      </c>
      <c r="L1177" s="16" t="n">
        <v>-2.73551988601685</v>
      </c>
      <c r="M1177" s="16" t="s">
        <v>100</v>
      </c>
      <c r="N1177" s="16"/>
      <c r="O1177" s="16"/>
      <c r="P1177" s="16"/>
      <c r="Q1177" s="16" t="s">
        <v>100</v>
      </c>
    </row>
    <row r="1178" customFormat="false" ht="15" hidden="false" customHeight="false" outlineLevel="0" collapsed="false">
      <c r="A1178" s="16" t="n">
        <v>10880391</v>
      </c>
      <c r="B1178" s="16" t="s">
        <v>6131</v>
      </c>
      <c r="C1178" s="16" t="s">
        <v>6132</v>
      </c>
      <c r="D1178" s="16" t="s">
        <v>22</v>
      </c>
      <c r="E1178" s="16" t="s">
        <v>94</v>
      </c>
      <c r="F1178" s="16" t="s">
        <v>6133</v>
      </c>
      <c r="G1178" s="16" t="s">
        <v>3718</v>
      </c>
      <c r="H1178" s="16" t="s">
        <v>57</v>
      </c>
      <c r="I1178" s="16" t="s">
        <v>32</v>
      </c>
      <c r="J1178" s="16" t="s">
        <v>6134</v>
      </c>
      <c r="K1178" s="16" t="n">
        <v>51.6541175842285</v>
      </c>
      <c r="L1178" s="16" t="n">
        <v>-0.392844796180725</v>
      </c>
      <c r="M1178" s="16" t="s">
        <v>98</v>
      </c>
      <c r="N1178" s="16"/>
      <c r="O1178" s="16"/>
      <c r="P1178" s="16"/>
      <c r="Q1178" s="16" t="s">
        <v>100</v>
      </c>
    </row>
    <row r="1179" customFormat="false" ht="15" hidden="false" customHeight="false" outlineLevel="0" collapsed="false">
      <c r="A1179" s="16" t="n">
        <v>10880393</v>
      </c>
      <c r="B1179" s="16" t="s">
        <v>6135</v>
      </c>
      <c r="C1179" s="16" t="s">
        <v>6132</v>
      </c>
      <c r="D1179" s="16" t="s">
        <v>22</v>
      </c>
      <c r="E1179" s="16" t="s">
        <v>94</v>
      </c>
      <c r="F1179" s="16" t="s">
        <v>6133</v>
      </c>
      <c r="G1179" s="16" t="s">
        <v>3718</v>
      </c>
      <c r="H1179" s="16" t="s">
        <v>285</v>
      </c>
      <c r="I1179" s="16" t="s">
        <v>34</v>
      </c>
      <c r="J1179" s="16" t="s">
        <v>6136</v>
      </c>
      <c r="K1179" s="16" t="n">
        <v>52.9968910217285</v>
      </c>
      <c r="L1179" s="16" t="n">
        <v>-2.21197652816773</v>
      </c>
      <c r="M1179" s="16" t="s">
        <v>98</v>
      </c>
      <c r="N1179" s="16"/>
      <c r="O1179" s="16"/>
      <c r="P1179" s="16"/>
      <c r="Q1179" s="16" t="s">
        <v>100</v>
      </c>
    </row>
    <row r="1180" customFormat="false" ht="15" hidden="false" customHeight="false" outlineLevel="0" collapsed="false">
      <c r="A1180" s="16" t="n">
        <v>10880408</v>
      </c>
      <c r="B1180" s="16" t="s">
        <v>6137</v>
      </c>
      <c r="C1180" s="16" t="s">
        <v>6138</v>
      </c>
      <c r="D1180" s="16" t="s">
        <v>23</v>
      </c>
      <c r="E1180" s="16" t="s">
        <v>5686</v>
      </c>
      <c r="F1180" s="16" t="s">
        <v>3488</v>
      </c>
      <c r="G1180" s="16" t="s">
        <v>2584</v>
      </c>
      <c r="H1180" s="16" t="s">
        <v>2585</v>
      </c>
      <c r="I1180" s="16" t="s">
        <v>31</v>
      </c>
      <c r="J1180" s="16" t="s">
        <v>6139</v>
      </c>
      <c r="K1180" s="16" t="n">
        <v>54.8749313354492</v>
      </c>
      <c r="L1180" s="16" t="n">
        <v>-2.88372206687927</v>
      </c>
      <c r="M1180" s="16" t="s">
        <v>98</v>
      </c>
      <c r="N1180" s="16" t="s">
        <v>6140</v>
      </c>
      <c r="O1180" s="16"/>
      <c r="P1180" s="16" t="s">
        <v>3491</v>
      </c>
      <c r="Q1180" s="16" t="s">
        <v>100</v>
      </c>
    </row>
    <row r="1181" customFormat="false" ht="15" hidden="false" customHeight="false" outlineLevel="0" collapsed="false">
      <c r="A1181" s="16" t="n">
        <v>10917648</v>
      </c>
      <c r="B1181" s="16" t="s">
        <v>6141</v>
      </c>
      <c r="C1181" s="16" t="s">
        <v>6142</v>
      </c>
      <c r="D1181" s="16" t="s">
        <v>22</v>
      </c>
      <c r="E1181" s="16" t="s">
        <v>94</v>
      </c>
      <c r="F1181" s="16" t="s">
        <v>5046</v>
      </c>
      <c r="G1181" s="16" t="s">
        <v>606</v>
      </c>
      <c r="H1181" s="16" t="s">
        <v>45</v>
      </c>
      <c r="I1181" s="16" t="s">
        <v>29</v>
      </c>
      <c r="J1181" s="16" t="s">
        <v>3177</v>
      </c>
      <c r="K1181" s="16" t="n">
        <v>51.2665863037109</v>
      </c>
      <c r="L1181" s="16" t="n">
        <v>1.08709752559662</v>
      </c>
      <c r="M1181" s="16" t="s">
        <v>98</v>
      </c>
      <c r="N1181" s="16" t="s">
        <v>6143</v>
      </c>
      <c r="O1181" s="16" t="s">
        <v>5049</v>
      </c>
      <c r="P1181" s="16" t="s">
        <v>6144</v>
      </c>
      <c r="Q1181" s="16" t="s">
        <v>100</v>
      </c>
    </row>
    <row r="1182" customFormat="false" ht="15" hidden="false" customHeight="false" outlineLevel="0" collapsed="false">
      <c r="A1182" s="16" t="n">
        <v>10921185</v>
      </c>
      <c r="B1182" s="16" t="s">
        <v>6145</v>
      </c>
      <c r="C1182" s="16" t="s">
        <v>6146</v>
      </c>
      <c r="D1182" s="16" t="s">
        <v>22</v>
      </c>
      <c r="E1182" s="16" t="s">
        <v>4235</v>
      </c>
      <c r="F1182" s="16" t="s">
        <v>4063</v>
      </c>
      <c r="G1182" s="16" t="s">
        <v>1496</v>
      </c>
      <c r="H1182" s="16" t="s">
        <v>34</v>
      </c>
      <c r="I1182" s="16" t="s">
        <v>34</v>
      </c>
      <c r="J1182" s="16" t="s">
        <v>6147</v>
      </c>
      <c r="K1182" s="16" t="n">
        <v>52.6137542724609</v>
      </c>
      <c r="L1182" s="16" t="n">
        <v>-2.00483083724976</v>
      </c>
      <c r="M1182" s="16" t="s">
        <v>100</v>
      </c>
      <c r="N1182" s="16"/>
      <c r="O1182" s="16"/>
      <c r="P1182" s="16"/>
      <c r="Q1182" s="16" t="s">
        <v>100</v>
      </c>
    </row>
    <row r="1183" customFormat="false" ht="15" hidden="false" customHeight="false" outlineLevel="0" collapsed="false">
      <c r="A1183" s="16" t="n">
        <v>10921186</v>
      </c>
      <c r="B1183" s="16" t="s">
        <v>6148</v>
      </c>
      <c r="C1183" s="16" t="s">
        <v>6149</v>
      </c>
      <c r="D1183" s="16" t="s">
        <v>22</v>
      </c>
      <c r="E1183" s="16" t="s">
        <v>4235</v>
      </c>
      <c r="F1183" s="16" t="s">
        <v>4063</v>
      </c>
      <c r="G1183" s="16" t="s">
        <v>1496</v>
      </c>
      <c r="H1183" s="16" t="s">
        <v>34</v>
      </c>
      <c r="I1183" s="16" t="s">
        <v>34</v>
      </c>
      <c r="J1183" s="16" t="s">
        <v>6150</v>
      </c>
      <c r="K1183" s="16" t="n">
        <v>52.5821342468262</v>
      </c>
      <c r="L1183" s="16" t="n">
        <v>-2.00242161750794</v>
      </c>
      <c r="M1183" s="16" t="s">
        <v>100</v>
      </c>
      <c r="N1183" s="16"/>
      <c r="O1183" s="16"/>
      <c r="P1183" s="16"/>
      <c r="Q1183" s="16" t="s">
        <v>100</v>
      </c>
    </row>
    <row r="1184" customFormat="false" ht="15" hidden="false" customHeight="false" outlineLevel="0" collapsed="false">
      <c r="A1184" s="16" t="n">
        <v>10921194</v>
      </c>
      <c r="B1184" s="16" t="s">
        <v>6151</v>
      </c>
      <c r="C1184" s="16" t="s">
        <v>6152</v>
      </c>
      <c r="D1184" s="16" t="s">
        <v>22</v>
      </c>
      <c r="E1184" s="16" t="s">
        <v>4235</v>
      </c>
      <c r="F1184" s="16" t="s">
        <v>4063</v>
      </c>
      <c r="G1184" s="16" t="s">
        <v>2568</v>
      </c>
      <c r="H1184" s="16" t="s">
        <v>34</v>
      </c>
      <c r="I1184" s="16" t="s">
        <v>34</v>
      </c>
      <c r="J1184" s="16" t="s">
        <v>6153</v>
      </c>
      <c r="K1184" s="16" t="n">
        <v>52.5029029846191</v>
      </c>
      <c r="L1184" s="16" t="n">
        <v>-2.11683821678162</v>
      </c>
      <c r="M1184" s="16" t="s">
        <v>100</v>
      </c>
      <c r="N1184" s="16"/>
      <c r="O1184" s="16"/>
      <c r="P1184" s="16"/>
      <c r="Q1184" s="16" t="s">
        <v>100</v>
      </c>
    </row>
    <row r="1185" customFormat="false" ht="15" hidden="false" customHeight="false" outlineLevel="0" collapsed="false">
      <c r="A1185" s="16" t="n">
        <v>10927464</v>
      </c>
      <c r="B1185" s="16" t="s">
        <v>6154</v>
      </c>
      <c r="C1185" s="16" t="s">
        <v>6155</v>
      </c>
      <c r="D1185" s="16" t="s">
        <v>22</v>
      </c>
      <c r="E1185" s="16" t="s">
        <v>4235</v>
      </c>
      <c r="F1185" s="16" t="s">
        <v>1420</v>
      </c>
      <c r="G1185" s="16" t="s">
        <v>1088</v>
      </c>
      <c r="H1185" s="16" t="s">
        <v>49</v>
      </c>
      <c r="I1185" s="16" t="s">
        <v>32</v>
      </c>
      <c r="J1185" s="16" t="s">
        <v>1089</v>
      </c>
      <c r="K1185" s="16" t="n">
        <v>51.9062995910645</v>
      </c>
      <c r="L1185" s="16" t="n">
        <v>0.89499294757843</v>
      </c>
      <c r="M1185" s="16" t="s">
        <v>100</v>
      </c>
      <c r="N1185" s="16"/>
      <c r="O1185" s="16"/>
      <c r="P1185" s="16"/>
      <c r="Q1185" s="16" t="s">
        <v>100</v>
      </c>
    </row>
    <row r="1186" customFormat="false" ht="15" hidden="false" customHeight="false" outlineLevel="0" collapsed="false">
      <c r="A1186" s="16" t="n">
        <v>10927514</v>
      </c>
      <c r="B1186" s="16" t="s">
        <v>6156</v>
      </c>
      <c r="C1186" s="16" t="s">
        <v>6157</v>
      </c>
      <c r="D1186" s="16" t="s">
        <v>22</v>
      </c>
      <c r="E1186" s="16" t="s">
        <v>4235</v>
      </c>
      <c r="F1186" s="16" t="s">
        <v>1420</v>
      </c>
      <c r="G1186" s="16" t="s">
        <v>877</v>
      </c>
      <c r="H1186" s="16" t="s">
        <v>49</v>
      </c>
      <c r="I1186" s="16" t="s">
        <v>32</v>
      </c>
      <c r="J1186" s="16" t="s">
        <v>6158</v>
      </c>
      <c r="K1186" s="16" t="n">
        <v>51.7352447509766</v>
      </c>
      <c r="L1186" s="16" t="n">
        <v>0.469032198190689</v>
      </c>
      <c r="M1186" s="16" t="s">
        <v>100</v>
      </c>
      <c r="N1186" s="16"/>
      <c r="O1186" s="16"/>
      <c r="P1186" s="16"/>
      <c r="Q1186" s="16" t="s">
        <v>100</v>
      </c>
    </row>
    <row r="1187" customFormat="false" ht="15" hidden="false" customHeight="false" outlineLevel="0" collapsed="false">
      <c r="A1187" s="16" t="n">
        <v>10927524</v>
      </c>
      <c r="B1187" s="16" t="s">
        <v>6159</v>
      </c>
      <c r="C1187" s="16" t="s">
        <v>6160</v>
      </c>
      <c r="D1187" s="16" t="s">
        <v>22</v>
      </c>
      <c r="E1187" s="16" t="s">
        <v>4235</v>
      </c>
      <c r="F1187" s="16" t="s">
        <v>1420</v>
      </c>
      <c r="G1187" s="16" t="s">
        <v>877</v>
      </c>
      <c r="H1187" s="16" t="s">
        <v>49</v>
      </c>
      <c r="I1187" s="16" t="s">
        <v>32</v>
      </c>
      <c r="J1187" s="16" t="s">
        <v>6161</v>
      </c>
      <c r="K1187" s="16" t="n">
        <v>51.7309341430664</v>
      </c>
      <c r="L1187" s="16" t="n">
        <v>0.470911622047424</v>
      </c>
      <c r="M1187" s="16" t="s">
        <v>100</v>
      </c>
      <c r="N1187" s="16"/>
      <c r="O1187" s="16"/>
      <c r="P1187" s="16"/>
      <c r="Q1187" s="16" t="s">
        <v>100</v>
      </c>
    </row>
    <row r="1188" customFormat="false" ht="15" hidden="false" customHeight="false" outlineLevel="0" collapsed="false">
      <c r="A1188" s="16" t="n">
        <v>10927528</v>
      </c>
      <c r="B1188" s="16" t="s">
        <v>6162</v>
      </c>
      <c r="C1188" s="16" t="s">
        <v>6163</v>
      </c>
      <c r="D1188" s="16" t="s">
        <v>22</v>
      </c>
      <c r="E1188" s="16" t="s">
        <v>4235</v>
      </c>
      <c r="F1188" s="16" t="s">
        <v>1420</v>
      </c>
      <c r="G1188" s="16" t="s">
        <v>1128</v>
      </c>
      <c r="H1188" s="16" t="s">
        <v>57</v>
      </c>
      <c r="I1188" s="16" t="s">
        <v>32</v>
      </c>
      <c r="J1188" s="16" t="s">
        <v>1129</v>
      </c>
      <c r="K1188" s="16" t="n">
        <v>51.8070945739746</v>
      </c>
      <c r="L1188" s="16" t="n">
        <v>0.130471587181091</v>
      </c>
      <c r="M1188" s="16" t="s">
        <v>100</v>
      </c>
      <c r="N1188" s="16"/>
      <c r="O1188" s="16"/>
      <c r="P1188" s="16"/>
      <c r="Q1188" s="16" t="s">
        <v>100</v>
      </c>
    </row>
    <row r="1189" customFormat="false" ht="15" hidden="false" customHeight="false" outlineLevel="0" collapsed="false">
      <c r="A1189" s="16" t="n">
        <v>10927609</v>
      </c>
      <c r="B1189" s="16" t="s">
        <v>6164</v>
      </c>
      <c r="C1189" s="16" t="s">
        <v>6165</v>
      </c>
      <c r="D1189" s="16" t="s">
        <v>23</v>
      </c>
      <c r="E1189" s="16" t="s">
        <v>4235</v>
      </c>
      <c r="F1189" s="16" t="s">
        <v>5955</v>
      </c>
      <c r="G1189" s="16" t="s">
        <v>33</v>
      </c>
      <c r="H1189" s="16" t="s">
        <v>44</v>
      </c>
      <c r="I1189" s="16" t="s">
        <v>33</v>
      </c>
      <c r="J1189" s="16" t="s">
        <v>6166</v>
      </c>
      <c r="K1189" s="16" t="n">
        <v>51.5170021057129</v>
      </c>
      <c r="L1189" s="16" t="n">
        <v>-0.146413713693619</v>
      </c>
      <c r="M1189" s="16" t="s">
        <v>100</v>
      </c>
      <c r="N1189" s="16"/>
      <c r="O1189" s="16"/>
      <c r="P1189" s="16"/>
      <c r="Q1189" s="16" t="s">
        <v>100</v>
      </c>
    </row>
    <row r="1190" customFormat="false" ht="15" hidden="false" customHeight="false" outlineLevel="0" collapsed="false">
      <c r="A1190" s="16" t="n">
        <v>10927610</v>
      </c>
      <c r="B1190" s="16" t="s">
        <v>6167</v>
      </c>
      <c r="C1190" s="16" t="s">
        <v>6168</v>
      </c>
      <c r="D1190" s="16" t="s">
        <v>23</v>
      </c>
      <c r="E1190" s="16" t="s">
        <v>4235</v>
      </c>
      <c r="F1190" s="16" t="s">
        <v>5955</v>
      </c>
      <c r="G1190" s="16" t="s">
        <v>33</v>
      </c>
      <c r="H1190" s="16" t="s">
        <v>44</v>
      </c>
      <c r="I1190" s="16" t="s">
        <v>33</v>
      </c>
      <c r="J1190" s="16" t="s">
        <v>6166</v>
      </c>
      <c r="K1190" s="16" t="n">
        <v>51.5170021057129</v>
      </c>
      <c r="L1190" s="16" t="n">
        <v>-0.146413713693619</v>
      </c>
      <c r="M1190" s="16" t="s">
        <v>100</v>
      </c>
      <c r="N1190" s="16"/>
      <c r="O1190" s="16"/>
      <c r="P1190" s="16"/>
      <c r="Q1190" s="16" t="s">
        <v>100</v>
      </c>
    </row>
    <row r="1191" customFormat="false" ht="15" hidden="false" customHeight="false" outlineLevel="0" collapsed="false">
      <c r="A1191" s="16" t="n">
        <v>10927611</v>
      </c>
      <c r="B1191" s="16" t="s">
        <v>6169</v>
      </c>
      <c r="C1191" s="16" t="s">
        <v>6170</v>
      </c>
      <c r="D1191" s="16" t="s">
        <v>23</v>
      </c>
      <c r="E1191" s="16" t="s">
        <v>4235</v>
      </c>
      <c r="F1191" s="16" t="s">
        <v>5955</v>
      </c>
      <c r="G1191" s="16" t="s">
        <v>877</v>
      </c>
      <c r="H1191" s="16" t="s">
        <v>49</v>
      </c>
      <c r="I1191" s="16" t="s">
        <v>32</v>
      </c>
      <c r="J1191" s="16" t="s">
        <v>6171</v>
      </c>
      <c r="K1191" s="16" t="n">
        <v>51.7077751159668</v>
      </c>
      <c r="L1191" s="16" t="n">
        <v>0.502377569675446</v>
      </c>
      <c r="M1191" s="16" t="s">
        <v>100</v>
      </c>
      <c r="N1191" s="16"/>
      <c r="O1191" s="16"/>
      <c r="P1191" s="16"/>
      <c r="Q1191" s="16" t="s">
        <v>100</v>
      </c>
    </row>
    <row r="1192" customFormat="false" ht="15" hidden="false" customHeight="false" outlineLevel="0" collapsed="false">
      <c r="A1192" s="16" t="n">
        <v>10928125</v>
      </c>
      <c r="B1192" s="16" t="s">
        <v>6172</v>
      </c>
      <c r="C1192" s="16" t="s">
        <v>6173</v>
      </c>
      <c r="D1192" s="16" t="s">
        <v>23</v>
      </c>
      <c r="E1192" s="16" t="s">
        <v>4235</v>
      </c>
      <c r="F1192" s="16" t="s">
        <v>65</v>
      </c>
      <c r="G1192" s="16" t="s">
        <v>230</v>
      </c>
      <c r="H1192" s="16" t="s">
        <v>48</v>
      </c>
      <c r="I1192" s="16" t="s">
        <v>30</v>
      </c>
      <c r="J1192" s="16" t="s">
        <v>6174</v>
      </c>
      <c r="K1192" s="16" t="n">
        <v>50.7246551513672</v>
      </c>
      <c r="L1192" s="16" t="n">
        <v>-3.48678851127625</v>
      </c>
      <c r="M1192" s="16" t="s">
        <v>100</v>
      </c>
      <c r="N1192" s="16"/>
      <c r="O1192" s="16"/>
      <c r="P1192" s="16"/>
      <c r="Q1192" s="16" t="s">
        <v>100</v>
      </c>
    </row>
    <row r="1193" customFormat="false" ht="15" hidden="false" customHeight="false" outlineLevel="0" collapsed="false">
      <c r="A1193" s="16" t="n">
        <v>10935138</v>
      </c>
      <c r="B1193" s="16" t="s">
        <v>6175</v>
      </c>
      <c r="C1193" s="16" t="s">
        <v>6176</v>
      </c>
      <c r="D1193" s="16" t="s">
        <v>23</v>
      </c>
      <c r="E1193" s="16" t="s">
        <v>4235</v>
      </c>
      <c r="F1193" s="16" t="s">
        <v>6177</v>
      </c>
      <c r="G1193" s="16" t="s">
        <v>219</v>
      </c>
      <c r="H1193" s="16" t="s">
        <v>220</v>
      </c>
      <c r="I1193" s="16" t="s">
        <v>36</v>
      </c>
      <c r="J1193" s="16" t="s">
        <v>6178</v>
      </c>
      <c r="K1193" s="16" t="n">
        <v>52.8362236022949</v>
      </c>
      <c r="L1193" s="16" t="n">
        <v>-1.275923371315</v>
      </c>
      <c r="M1193" s="16" t="s">
        <v>100</v>
      </c>
      <c r="N1193" s="16"/>
      <c r="O1193" s="16"/>
      <c r="P1193" s="16"/>
      <c r="Q1193" s="16" t="s">
        <v>100</v>
      </c>
    </row>
    <row r="1194" customFormat="false" ht="15" hidden="false" customHeight="false" outlineLevel="0" collapsed="false">
      <c r="A1194" s="16" t="n">
        <v>10942469</v>
      </c>
      <c r="B1194" s="16" t="s">
        <v>6179</v>
      </c>
      <c r="C1194" s="16" t="s">
        <v>6180</v>
      </c>
      <c r="D1194" s="16" t="s">
        <v>23</v>
      </c>
      <c r="E1194" s="16" t="s">
        <v>4235</v>
      </c>
      <c r="F1194" s="16" t="s">
        <v>63</v>
      </c>
      <c r="G1194" s="16" t="s">
        <v>2579</v>
      </c>
      <c r="H1194" s="16" t="s">
        <v>34</v>
      </c>
      <c r="I1194" s="16" t="s">
        <v>34</v>
      </c>
      <c r="J1194" s="16" t="s">
        <v>6181</v>
      </c>
      <c r="K1194" s="16" t="n">
        <v>52.4599266052246</v>
      </c>
      <c r="L1194" s="16" t="n">
        <v>-2.15242862701416</v>
      </c>
      <c r="M1194" s="16" t="s">
        <v>100</v>
      </c>
      <c r="N1194" s="16"/>
      <c r="O1194" s="16"/>
      <c r="P1194" s="16"/>
      <c r="Q1194" s="16" t="s">
        <v>100</v>
      </c>
    </row>
    <row r="1195" customFormat="false" ht="15" hidden="false" customHeight="false" outlineLevel="0" collapsed="false">
      <c r="A1195" s="16" t="n">
        <v>10943515</v>
      </c>
      <c r="B1195" s="16" t="s">
        <v>6182</v>
      </c>
      <c r="C1195" s="16" t="s">
        <v>6183</v>
      </c>
      <c r="D1195" s="16" t="s">
        <v>22</v>
      </c>
      <c r="E1195" s="16" t="s">
        <v>4235</v>
      </c>
      <c r="F1195" s="16" t="s">
        <v>69</v>
      </c>
      <c r="G1195" s="16" t="s">
        <v>309</v>
      </c>
      <c r="H1195" s="16" t="s">
        <v>310</v>
      </c>
      <c r="I1195" s="16" t="s">
        <v>30</v>
      </c>
      <c r="J1195" s="16" t="s">
        <v>6184</v>
      </c>
      <c r="K1195" s="16" t="n">
        <v>51.0139503479004</v>
      </c>
      <c r="L1195" s="16" t="n">
        <v>-3.09161472320557</v>
      </c>
      <c r="M1195" s="16" t="s">
        <v>100</v>
      </c>
      <c r="N1195" s="16"/>
      <c r="O1195" s="16"/>
      <c r="P1195" s="16"/>
      <c r="Q1195" s="16" t="s">
        <v>100</v>
      </c>
    </row>
    <row r="1196" customFormat="false" ht="15" hidden="false" customHeight="false" outlineLevel="0" collapsed="false">
      <c r="A1196" s="16" t="n">
        <v>10943516</v>
      </c>
      <c r="B1196" s="16" t="s">
        <v>6185</v>
      </c>
      <c r="C1196" s="16" t="s">
        <v>6186</v>
      </c>
      <c r="D1196" s="16" t="s">
        <v>22</v>
      </c>
      <c r="E1196" s="16" t="s">
        <v>4235</v>
      </c>
      <c r="F1196" s="16" t="s">
        <v>69</v>
      </c>
      <c r="G1196" s="16" t="s">
        <v>2034</v>
      </c>
      <c r="H1196" s="16" t="s">
        <v>310</v>
      </c>
      <c r="I1196" s="16" t="s">
        <v>30</v>
      </c>
      <c r="J1196" s="16" t="s">
        <v>6187</v>
      </c>
      <c r="K1196" s="16" t="n">
        <v>51.0934944152832</v>
      </c>
      <c r="L1196" s="16" t="n">
        <v>-2.68505454063416</v>
      </c>
      <c r="M1196" s="16" t="s">
        <v>100</v>
      </c>
      <c r="N1196" s="16"/>
      <c r="O1196" s="16"/>
      <c r="P1196" s="16"/>
      <c r="Q1196" s="16" t="s">
        <v>100</v>
      </c>
    </row>
    <row r="1197" customFormat="false" ht="15" hidden="false" customHeight="false" outlineLevel="0" collapsed="false">
      <c r="A1197" s="16" t="n">
        <v>10953840</v>
      </c>
      <c r="B1197" s="16" t="s">
        <v>6188</v>
      </c>
      <c r="C1197" s="16" t="s">
        <v>6189</v>
      </c>
      <c r="D1197" s="16" t="s">
        <v>23</v>
      </c>
      <c r="E1197" s="16" t="s">
        <v>4235</v>
      </c>
      <c r="F1197" s="16" t="s">
        <v>6190</v>
      </c>
      <c r="G1197" s="16" t="s">
        <v>230</v>
      </c>
      <c r="H1197" s="16" t="s">
        <v>48</v>
      </c>
      <c r="I1197" s="16" t="s">
        <v>30</v>
      </c>
      <c r="J1197" s="16" t="s">
        <v>6191</v>
      </c>
      <c r="K1197" s="16" t="n">
        <v>50.7246551513672</v>
      </c>
      <c r="L1197" s="16" t="n">
        <v>-3.46455883979797</v>
      </c>
      <c r="M1197" s="16" t="s">
        <v>100</v>
      </c>
      <c r="N1197" s="16"/>
      <c r="O1197" s="16"/>
      <c r="P1197" s="16"/>
      <c r="Q1197" s="16" t="s">
        <v>100</v>
      </c>
    </row>
    <row r="1198" customFormat="false" ht="15" hidden="false" customHeight="false" outlineLevel="0" collapsed="false">
      <c r="A1198" s="16" t="n">
        <v>10953844</v>
      </c>
      <c r="B1198" s="16" t="s">
        <v>6192</v>
      </c>
      <c r="C1198" s="16" t="s">
        <v>6193</v>
      </c>
      <c r="D1198" s="16" t="s">
        <v>23</v>
      </c>
      <c r="E1198" s="16" t="s">
        <v>4235</v>
      </c>
      <c r="F1198" s="16" t="s">
        <v>6194</v>
      </c>
      <c r="G1198" s="16" t="s">
        <v>33</v>
      </c>
      <c r="H1198" s="16" t="s">
        <v>44</v>
      </c>
      <c r="I1198" s="16" t="s">
        <v>33</v>
      </c>
      <c r="J1198" s="16" t="s">
        <v>6195</v>
      </c>
      <c r="K1198" s="16" t="n">
        <v>51.5133743286133</v>
      </c>
      <c r="L1198" s="16" t="n">
        <v>-0.0830178782343864</v>
      </c>
      <c r="M1198" s="16" t="s">
        <v>100</v>
      </c>
      <c r="N1198" s="16"/>
      <c r="O1198" s="16"/>
      <c r="P1198" s="16"/>
      <c r="Q1198" s="16" t="s">
        <v>100</v>
      </c>
    </row>
    <row r="1199" customFormat="false" ht="15" hidden="false" customHeight="false" outlineLevel="0" collapsed="false">
      <c r="A1199" s="16" t="n">
        <v>10953845</v>
      </c>
      <c r="B1199" s="16" t="s">
        <v>6196</v>
      </c>
      <c r="C1199" s="16" t="s">
        <v>6197</v>
      </c>
      <c r="D1199" s="16" t="s">
        <v>23</v>
      </c>
      <c r="E1199" s="16" t="s">
        <v>4235</v>
      </c>
      <c r="F1199" s="16" t="s">
        <v>6194</v>
      </c>
      <c r="G1199" s="16" t="s">
        <v>33</v>
      </c>
      <c r="H1199" s="16" t="s">
        <v>44</v>
      </c>
      <c r="I1199" s="16" t="s">
        <v>33</v>
      </c>
      <c r="J1199" s="16" t="s">
        <v>6198</v>
      </c>
      <c r="K1199" s="16" t="n">
        <v>51.5181999206543</v>
      </c>
      <c r="L1199" s="16" t="n">
        <v>-0.147028148174286</v>
      </c>
      <c r="M1199" s="16" t="s">
        <v>100</v>
      </c>
      <c r="N1199" s="16"/>
      <c r="O1199" s="16"/>
      <c r="P1199" s="16"/>
      <c r="Q1199" s="16" t="s">
        <v>100</v>
      </c>
    </row>
    <row r="1200" customFormat="false" ht="15" hidden="false" customHeight="false" outlineLevel="0" collapsed="false">
      <c r="A1200" s="16" t="n">
        <v>10955136</v>
      </c>
      <c r="B1200" s="16" t="s">
        <v>6199</v>
      </c>
      <c r="C1200" s="16" t="s">
        <v>6200</v>
      </c>
      <c r="D1200" s="16" t="s">
        <v>22</v>
      </c>
      <c r="E1200" s="16" t="s">
        <v>4235</v>
      </c>
      <c r="F1200" s="16" t="s">
        <v>1866</v>
      </c>
      <c r="G1200" s="16" t="s">
        <v>1867</v>
      </c>
      <c r="H1200" s="16" t="s">
        <v>1034</v>
      </c>
      <c r="I1200" s="16" t="s">
        <v>30</v>
      </c>
      <c r="J1200" s="16" t="s">
        <v>6201</v>
      </c>
      <c r="K1200" s="16" t="n">
        <v>50.1114044189453</v>
      </c>
      <c r="L1200" s="16" t="n">
        <v>-5.54855585098267</v>
      </c>
      <c r="M1200" s="16" t="s">
        <v>100</v>
      </c>
      <c r="N1200" s="16"/>
      <c r="O1200" s="16"/>
      <c r="P1200" s="16"/>
      <c r="Q1200" s="16" t="s">
        <v>100</v>
      </c>
    </row>
    <row r="1201" customFormat="false" ht="15" hidden="false" customHeight="false" outlineLevel="0" collapsed="false">
      <c r="A1201" s="16" t="n">
        <v>10955521</v>
      </c>
      <c r="B1201" s="16" t="s">
        <v>6202</v>
      </c>
      <c r="C1201" s="16" t="s">
        <v>6203</v>
      </c>
      <c r="D1201" s="16" t="s">
        <v>22</v>
      </c>
      <c r="E1201" s="16" t="s">
        <v>4235</v>
      </c>
      <c r="F1201" s="16" t="s">
        <v>6204</v>
      </c>
      <c r="G1201" s="16" t="s">
        <v>1771</v>
      </c>
      <c r="H1201" s="16" t="s">
        <v>53</v>
      </c>
      <c r="I1201" s="16" t="s">
        <v>30</v>
      </c>
      <c r="J1201" s="16" t="s">
        <v>1817</v>
      </c>
      <c r="K1201" s="16" t="n">
        <v>50.8022003173828</v>
      </c>
      <c r="L1201" s="16" t="n">
        <v>-1.99590408802033</v>
      </c>
      <c r="M1201" s="16" t="s">
        <v>100</v>
      </c>
      <c r="N1201" s="16"/>
      <c r="O1201" s="16"/>
      <c r="P1201" s="16"/>
      <c r="Q1201" s="16" t="s">
        <v>100</v>
      </c>
    </row>
    <row r="1202" customFormat="false" ht="15" hidden="false" customHeight="false" outlineLevel="0" collapsed="false">
      <c r="A1202" s="16" t="n">
        <v>10955643</v>
      </c>
      <c r="B1202" s="16" t="s">
        <v>6205</v>
      </c>
      <c r="C1202" s="16" t="s">
        <v>6206</v>
      </c>
      <c r="D1202" s="16" t="s">
        <v>22</v>
      </c>
      <c r="E1202" s="16" t="s">
        <v>94</v>
      </c>
      <c r="F1202" s="16" t="s">
        <v>5353</v>
      </c>
      <c r="G1202" s="16" t="s">
        <v>3718</v>
      </c>
      <c r="H1202" s="16" t="s">
        <v>56</v>
      </c>
      <c r="I1202" s="16" t="s">
        <v>30</v>
      </c>
      <c r="J1202" s="16" t="s">
        <v>110</v>
      </c>
      <c r="K1202" s="16" t="n">
        <v>51.4378967285156</v>
      </c>
      <c r="L1202" s="16" t="n">
        <v>-2.84587669372559</v>
      </c>
      <c r="M1202" s="16" t="s">
        <v>98</v>
      </c>
      <c r="N1202" s="16"/>
      <c r="O1202" s="16"/>
      <c r="P1202" s="16"/>
      <c r="Q1202" s="16" t="s">
        <v>100</v>
      </c>
    </row>
    <row r="1203" customFormat="false" ht="15" hidden="false" customHeight="false" outlineLevel="0" collapsed="false">
      <c r="A1203" s="16" t="n">
        <v>10956123</v>
      </c>
      <c r="B1203" s="16" t="s">
        <v>6207</v>
      </c>
      <c r="C1203" s="16" t="s">
        <v>5311</v>
      </c>
      <c r="D1203" s="16" t="s">
        <v>22</v>
      </c>
      <c r="E1203" s="16" t="s">
        <v>4235</v>
      </c>
      <c r="F1203" s="16" t="s">
        <v>3140</v>
      </c>
      <c r="G1203" s="16" t="s">
        <v>5312</v>
      </c>
      <c r="H1203" s="16" t="s">
        <v>510</v>
      </c>
      <c r="I1203" s="16" t="s">
        <v>29</v>
      </c>
      <c r="J1203" s="16" t="s">
        <v>5313</v>
      </c>
      <c r="K1203" s="16" t="n">
        <v>51.4101676940918</v>
      </c>
      <c r="L1203" s="16" t="n">
        <v>-0.687337934970856</v>
      </c>
      <c r="M1203" s="16" t="s">
        <v>100</v>
      </c>
      <c r="N1203" s="16"/>
      <c r="O1203" s="16"/>
      <c r="P1203" s="16"/>
      <c r="Q1203" s="16" t="s">
        <v>98</v>
      </c>
    </row>
    <row r="1204" customFormat="false" ht="15" hidden="false" customHeight="false" outlineLevel="0" collapsed="false">
      <c r="A1204" s="16" t="n">
        <v>10956126</v>
      </c>
      <c r="B1204" s="16" t="s">
        <v>6208</v>
      </c>
      <c r="C1204" s="16" t="s">
        <v>6209</v>
      </c>
      <c r="D1204" s="16" t="s">
        <v>22</v>
      </c>
      <c r="E1204" s="16" t="s">
        <v>4235</v>
      </c>
      <c r="F1204" s="16" t="s">
        <v>3140</v>
      </c>
      <c r="G1204" s="16" t="s">
        <v>700</v>
      </c>
      <c r="H1204" s="16" t="s">
        <v>510</v>
      </c>
      <c r="I1204" s="16" t="s">
        <v>29</v>
      </c>
      <c r="J1204" s="16" t="s">
        <v>2175</v>
      </c>
      <c r="K1204" s="16" t="n">
        <v>51.4735450744629</v>
      </c>
      <c r="L1204" s="16" t="n">
        <v>-0.614692628383637</v>
      </c>
      <c r="M1204" s="16" t="s">
        <v>100</v>
      </c>
      <c r="N1204" s="16"/>
      <c r="O1204" s="16"/>
      <c r="P1204" s="16"/>
      <c r="Q1204" s="16" t="s">
        <v>100</v>
      </c>
    </row>
    <row r="1205" customFormat="false" ht="15" hidden="false" customHeight="false" outlineLevel="0" collapsed="false">
      <c r="A1205" s="16" t="n">
        <v>10956127</v>
      </c>
      <c r="B1205" s="16" t="s">
        <v>6210</v>
      </c>
      <c r="C1205" s="16" t="s">
        <v>6211</v>
      </c>
      <c r="D1205" s="16" t="s">
        <v>22</v>
      </c>
      <c r="E1205" s="16" t="s">
        <v>4235</v>
      </c>
      <c r="F1205" s="16" t="s">
        <v>2987</v>
      </c>
      <c r="G1205" s="16" t="s">
        <v>4270</v>
      </c>
      <c r="H1205" s="16" t="s">
        <v>769</v>
      </c>
      <c r="I1205" s="16" t="s">
        <v>36</v>
      </c>
      <c r="J1205" s="16" t="s">
        <v>6212</v>
      </c>
      <c r="K1205" s="16" t="n">
        <v>52.0380592346191</v>
      </c>
      <c r="L1205" s="16" t="n">
        <v>-1.13770306110382</v>
      </c>
      <c r="M1205" s="16" t="s">
        <v>100</v>
      </c>
      <c r="N1205" s="16"/>
      <c r="O1205" s="16"/>
      <c r="P1205" s="16"/>
      <c r="Q1205" s="16" t="s">
        <v>100</v>
      </c>
    </row>
    <row r="1206" customFormat="false" ht="15" hidden="false" customHeight="false" outlineLevel="0" collapsed="false">
      <c r="A1206" s="16" t="n">
        <v>10956137</v>
      </c>
      <c r="B1206" s="16" t="s">
        <v>6213</v>
      </c>
      <c r="C1206" s="16" t="s">
        <v>3450</v>
      </c>
      <c r="D1206" s="16" t="s">
        <v>22</v>
      </c>
      <c r="E1206" s="16" t="s">
        <v>4235</v>
      </c>
      <c r="F1206" s="16" t="s">
        <v>3799</v>
      </c>
      <c r="G1206" s="16" t="s">
        <v>3451</v>
      </c>
      <c r="H1206" s="16" t="s">
        <v>214</v>
      </c>
      <c r="I1206" s="16" t="s">
        <v>29</v>
      </c>
      <c r="J1206" s="16" t="s">
        <v>3452</v>
      </c>
      <c r="K1206" s="16" t="n">
        <v>51.1319541931152</v>
      </c>
      <c r="L1206" s="16" t="n">
        <v>-0.189015656709671</v>
      </c>
      <c r="M1206" s="16" t="s">
        <v>100</v>
      </c>
      <c r="N1206" s="16"/>
      <c r="O1206" s="16"/>
      <c r="P1206" s="16"/>
      <c r="Q1206" s="16" t="s">
        <v>98</v>
      </c>
    </row>
    <row r="1207" customFormat="false" ht="15" hidden="false" customHeight="false" outlineLevel="0" collapsed="false">
      <c r="A1207" s="16" t="n">
        <v>10956141</v>
      </c>
      <c r="B1207" s="16" t="s">
        <v>6214</v>
      </c>
      <c r="C1207" s="16" t="s">
        <v>6215</v>
      </c>
      <c r="D1207" s="16" t="s">
        <v>22</v>
      </c>
      <c r="E1207" s="16" t="s">
        <v>4235</v>
      </c>
      <c r="F1207" s="16" t="s">
        <v>1323</v>
      </c>
      <c r="G1207" s="16" t="s">
        <v>192</v>
      </c>
      <c r="H1207" s="16" t="s">
        <v>56</v>
      </c>
      <c r="I1207" s="16" t="s">
        <v>30</v>
      </c>
      <c r="J1207" s="16" t="s">
        <v>6216</v>
      </c>
      <c r="K1207" s="16" t="n">
        <v>51.5032272338867</v>
      </c>
      <c r="L1207" s="16" t="n">
        <v>-2.54870843887329</v>
      </c>
      <c r="M1207" s="16" t="s">
        <v>100</v>
      </c>
      <c r="N1207" s="16"/>
      <c r="O1207" s="16"/>
      <c r="P1207" s="16"/>
      <c r="Q1207" s="16" t="s">
        <v>100</v>
      </c>
    </row>
    <row r="1208" customFormat="false" ht="15" hidden="false" customHeight="false" outlineLevel="0" collapsed="false">
      <c r="A1208" s="16" t="n">
        <v>10956142</v>
      </c>
      <c r="B1208" s="16" t="s">
        <v>6217</v>
      </c>
      <c r="C1208" s="16" t="s">
        <v>6218</v>
      </c>
      <c r="D1208" s="16" t="s">
        <v>22</v>
      </c>
      <c r="E1208" s="16" t="s">
        <v>4235</v>
      </c>
      <c r="F1208" s="16" t="s">
        <v>3799</v>
      </c>
      <c r="G1208" s="16" t="s">
        <v>367</v>
      </c>
      <c r="H1208" s="16" t="s">
        <v>46</v>
      </c>
      <c r="I1208" s="16" t="s">
        <v>29</v>
      </c>
      <c r="J1208" s="16" t="s">
        <v>6219</v>
      </c>
      <c r="K1208" s="16" t="n">
        <v>51.1663703918457</v>
      </c>
      <c r="L1208" s="16" t="n">
        <v>-0.20195709168911</v>
      </c>
      <c r="M1208" s="16" t="s">
        <v>100</v>
      </c>
      <c r="N1208" s="16"/>
      <c r="O1208" s="16"/>
      <c r="P1208" s="16"/>
      <c r="Q1208" s="16" t="s">
        <v>100</v>
      </c>
    </row>
    <row r="1209" customFormat="false" ht="15" hidden="false" customHeight="false" outlineLevel="0" collapsed="false">
      <c r="A1209" s="16" t="n">
        <v>10956143</v>
      </c>
      <c r="B1209" s="16" t="s">
        <v>6220</v>
      </c>
      <c r="C1209" s="16" t="s">
        <v>6221</v>
      </c>
      <c r="D1209" s="16" t="s">
        <v>22</v>
      </c>
      <c r="E1209" s="16" t="s">
        <v>4235</v>
      </c>
      <c r="F1209" s="16" t="s">
        <v>3799</v>
      </c>
      <c r="G1209" s="16" t="s">
        <v>5697</v>
      </c>
      <c r="H1209" s="16" t="s">
        <v>46</v>
      </c>
      <c r="I1209" s="16" t="s">
        <v>29</v>
      </c>
      <c r="J1209" s="16" t="s">
        <v>6222</v>
      </c>
      <c r="K1209" s="16" t="n">
        <v>51.2370796203613</v>
      </c>
      <c r="L1209" s="16" t="n">
        <v>-0.179217755794525</v>
      </c>
      <c r="M1209" s="16" t="s">
        <v>100</v>
      </c>
      <c r="N1209" s="16"/>
      <c r="O1209" s="16"/>
      <c r="P1209" s="16"/>
      <c r="Q1209" s="16" t="s">
        <v>100</v>
      </c>
    </row>
    <row r="1210" customFormat="false" ht="15" hidden="false" customHeight="false" outlineLevel="0" collapsed="false">
      <c r="A1210" s="16" t="n">
        <v>10956150</v>
      </c>
      <c r="B1210" s="16" t="s">
        <v>6223</v>
      </c>
      <c r="C1210" s="16" t="s">
        <v>5723</v>
      </c>
      <c r="D1210" s="16" t="s">
        <v>22</v>
      </c>
      <c r="E1210" s="16" t="s">
        <v>4235</v>
      </c>
      <c r="F1210" s="16" t="s">
        <v>3799</v>
      </c>
      <c r="G1210" s="16" t="s">
        <v>103</v>
      </c>
      <c r="H1210" s="16" t="s">
        <v>46</v>
      </c>
      <c r="I1210" s="16" t="s">
        <v>29</v>
      </c>
      <c r="J1210" s="16" t="s">
        <v>5724</v>
      </c>
      <c r="K1210" s="16" t="n">
        <v>51.3147506713867</v>
      </c>
      <c r="L1210" s="16" t="n">
        <v>-0.615577220916748</v>
      </c>
      <c r="M1210" s="16" t="s">
        <v>100</v>
      </c>
      <c r="N1210" s="16"/>
      <c r="O1210" s="16"/>
      <c r="P1210" s="16"/>
      <c r="Q1210" s="16" t="s">
        <v>98</v>
      </c>
    </row>
    <row r="1211" customFormat="false" ht="15" hidden="false" customHeight="false" outlineLevel="0" collapsed="false">
      <c r="A1211" s="16" t="n">
        <v>10956151</v>
      </c>
      <c r="B1211" s="16" t="s">
        <v>6224</v>
      </c>
      <c r="C1211" s="16" t="s">
        <v>5134</v>
      </c>
      <c r="D1211" s="16" t="s">
        <v>22</v>
      </c>
      <c r="E1211" s="16" t="s">
        <v>4235</v>
      </c>
      <c r="F1211" s="16" t="s">
        <v>3799</v>
      </c>
      <c r="G1211" s="16" t="s">
        <v>627</v>
      </c>
      <c r="H1211" s="16" t="s">
        <v>595</v>
      </c>
      <c r="I1211" s="16" t="s">
        <v>33</v>
      </c>
      <c r="J1211" s="16" t="s">
        <v>5136</v>
      </c>
      <c r="K1211" s="16" t="n">
        <v>51.5670928955078</v>
      </c>
      <c r="L1211" s="16" t="n">
        <v>-0.33796963095665</v>
      </c>
      <c r="M1211" s="16" t="s">
        <v>100</v>
      </c>
      <c r="N1211" s="16"/>
      <c r="O1211" s="16"/>
      <c r="P1211" s="16"/>
      <c r="Q1211" s="16" t="s">
        <v>98</v>
      </c>
    </row>
    <row r="1212" customFormat="false" ht="15" hidden="false" customHeight="false" outlineLevel="0" collapsed="false">
      <c r="A1212" s="16" t="n">
        <v>10956153</v>
      </c>
      <c r="B1212" s="16" t="s">
        <v>6225</v>
      </c>
      <c r="C1212" s="16" t="s">
        <v>6019</v>
      </c>
      <c r="D1212" s="16" t="s">
        <v>22</v>
      </c>
      <c r="E1212" s="16" t="s">
        <v>4235</v>
      </c>
      <c r="F1212" s="16" t="s">
        <v>3799</v>
      </c>
      <c r="G1212" s="16" t="s">
        <v>3291</v>
      </c>
      <c r="H1212" s="16" t="s">
        <v>45</v>
      </c>
      <c r="I1212" s="16" t="s">
        <v>29</v>
      </c>
      <c r="J1212" s="16" t="s">
        <v>5343</v>
      </c>
      <c r="K1212" s="16" t="n">
        <v>51.286548614502</v>
      </c>
      <c r="L1212" s="16" t="n">
        <v>0.556725025177002</v>
      </c>
      <c r="M1212" s="16" t="s">
        <v>100</v>
      </c>
      <c r="N1212" s="16"/>
      <c r="O1212" s="16"/>
      <c r="P1212" s="16"/>
      <c r="Q1212" s="16" t="s">
        <v>100</v>
      </c>
    </row>
  </sheetData>
  <autoFilter ref="A1:Q1212"/>
  <conditionalFormatting sqref="A2:Q1212">
    <cfRule type="expression" priority="2" aboveAverage="0" equalAverage="0" bottom="0" percent="0" rank="0" text="" dxfId="7">
      <formula>$Q2="Yes"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1" t="s">
        <v>6226</v>
      </c>
    </row>
    <row r="3" customFormat="false" ht="26.85" hidden="false" customHeight="false" outlineLevel="0" collapsed="false">
      <c r="A3" s="4" t="s">
        <v>6227</v>
      </c>
      <c r="B3" s="4" t="s">
        <v>6228</v>
      </c>
      <c r="C3" s="4" t="s">
        <v>6229</v>
      </c>
    </row>
    <row r="4" customFormat="false" ht="15" hidden="false" customHeight="false" outlineLevel="0" collapsed="false">
      <c r="A4" s="5" t="s">
        <v>6230</v>
      </c>
      <c r="B4" s="9" t="n">
        <v>1211</v>
      </c>
      <c r="C4" s="5" t="s">
        <v>6231</v>
      </c>
    </row>
    <row r="5" customFormat="false" ht="15" hidden="false" customHeight="false" outlineLevel="0" collapsed="false">
      <c r="A5" s="5" t="s">
        <v>6232</v>
      </c>
      <c r="B5" s="9" t="n">
        <v>24</v>
      </c>
      <c r="C5" s="5"/>
    </row>
    <row r="6" customFormat="false" ht="15" hidden="false" customHeight="false" outlineLevel="0" collapsed="false">
      <c r="A6" s="5" t="s">
        <v>6233</v>
      </c>
      <c r="B6" s="9" t="n">
        <v>3533</v>
      </c>
      <c r="C6" s="5" t="s">
        <v>6234</v>
      </c>
    </row>
    <row r="7" customFormat="false" ht="15" hidden="false" customHeight="false" outlineLevel="0" collapsed="false">
      <c r="A7" s="5" t="s">
        <v>6235</v>
      </c>
      <c r="B7" s="9" t="n">
        <v>0</v>
      </c>
      <c r="C7" s="5"/>
    </row>
    <row r="8" customFormat="false" ht="15" hidden="false" customHeight="false" outlineLevel="0" collapsed="false">
      <c r="A8" s="5" t="s">
        <v>6236</v>
      </c>
      <c r="B8" s="9" t="n">
        <v>2</v>
      </c>
      <c r="C8" s="5"/>
    </row>
    <row r="9" customFormat="false" ht="15" hidden="false" customHeight="false" outlineLevel="0" collapsed="false">
      <c r="A9" s="5" t="s">
        <v>6237</v>
      </c>
      <c r="B9" s="9" t="n">
        <v>0</v>
      </c>
      <c r="C9" s="5"/>
    </row>
    <row r="10" customFormat="false" ht="15" hidden="false" customHeight="false" outlineLevel="0" collapsed="false">
      <c r="A10" s="5" t="s">
        <v>6238</v>
      </c>
      <c r="B10" s="9" t="n">
        <v>1</v>
      </c>
      <c r="C10" s="5"/>
    </row>
    <row r="11" customFormat="false" ht="15" hidden="false" customHeight="false" outlineLevel="0" collapsed="false">
      <c r="A11" s="5" t="s">
        <v>6239</v>
      </c>
      <c r="B11" s="9" t="n">
        <v>0</v>
      </c>
      <c r="C11" s="5"/>
    </row>
    <row r="12" customFormat="false" ht="15" hidden="false" customHeight="false" outlineLevel="0" collapsed="false">
      <c r="A12" s="5" t="s">
        <v>6240</v>
      </c>
      <c r="B12" s="9" t="n">
        <v>1209</v>
      </c>
      <c r="C12" s="5"/>
    </row>
    <row r="13" customFormat="false" ht="15" hidden="false" customHeight="false" outlineLevel="0" collapsed="false">
      <c r="A13" s="5" t="s">
        <v>6241</v>
      </c>
      <c r="B13" s="9" t="n">
        <v>251</v>
      </c>
      <c r="C13" s="5"/>
    </row>
    <row r="14" customFormat="false" ht="15" hidden="false" customHeight="false" outlineLevel="0" collapsed="false">
      <c r="A14" s="5" t="s">
        <v>6242</v>
      </c>
      <c r="B14" s="9" t="n">
        <v>244</v>
      </c>
      <c r="C14" s="5"/>
    </row>
    <row r="15" customFormat="false" ht="15" hidden="false" customHeight="false" outlineLevel="0" collapsed="false">
      <c r="A15" s="5" t="s">
        <v>6243</v>
      </c>
      <c r="B15" s="9" t="n">
        <v>12</v>
      </c>
      <c r="C15" s="5"/>
    </row>
    <row r="16" customFormat="false" ht="15" hidden="false" customHeight="false" outlineLevel="0" collapsed="false">
      <c r="A16" s="5" t="s">
        <v>6244</v>
      </c>
      <c r="B16" s="9" t="n">
        <v>238</v>
      </c>
      <c r="C16" s="5"/>
    </row>
    <row r="17" customFormat="false" ht="15" hidden="false" customHeight="false" outlineLevel="0" collapsed="false">
      <c r="A17" s="5" t="s">
        <v>6245</v>
      </c>
      <c r="B17" s="9" t="n">
        <v>181</v>
      </c>
      <c r="C17" s="5"/>
    </row>
    <row r="18" customFormat="false" ht="15" hidden="false" customHeight="false" outlineLevel="0" collapsed="false">
      <c r="A18" s="5" t="s">
        <v>6246</v>
      </c>
      <c r="B18" s="9" t="n">
        <v>38</v>
      </c>
      <c r="C18" s="5"/>
    </row>
    <row r="19" customFormat="false" ht="15" hidden="false" customHeight="false" outlineLevel="0" collapsed="false">
      <c r="A19" s="5" t="s">
        <v>6247</v>
      </c>
      <c r="B19" s="9" t="n">
        <v>19</v>
      </c>
      <c r="C19" s="5"/>
    </row>
    <row r="20" customFormat="false" ht="15" hidden="false" customHeight="false" outlineLevel="0" collapsed="false">
      <c r="A20" s="5" t="s">
        <v>6248</v>
      </c>
      <c r="B20" s="9" t="n">
        <v>15</v>
      </c>
      <c r="C20" s="5"/>
    </row>
    <row r="21" customFormat="false" ht="15" hidden="false" customHeight="false" outlineLevel="0" collapsed="false">
      <c r="A21" s="5" t="s">
        <v>6249</v>
      </c>
      <c r="B21" s="9" t="n">
        <v>0</v>
      </c>
      <c r="C21" s="5" t="s">
        <v>6250</v>
      </c>
    </row>
    <row r="22" customFormat="false" ht="15" hidden="false" customHeight="false" outlineLevel="0" collapsed="false">
      <c r="A22" s="5" t="s">
        <v>6251</v>
      </c>
      <c r="B22" s="9" t="n">
        <v>0</v>
      </c>
      <c r="C22" s="5" t="s">
        <v>6250</v>
      </c>
    </row>
    <row r="23" customFormat="false" ht="15" hidden="false" customHeight="false" outlineLevel="0" collapsed="false">
      <c r="A23" s="5" t="s">
        <v>6252</v>
      </c>
      <c r="B23" s="9" t="n">
        <v>4</v>
      </c>
      <c r="C23" s="5"/>
    </row>
    <row r="24" customFormat="false" ht="15" hidden="false" customHeight="false" outlineLevel="0" collapsed="false">
      <c r="A24" s="5" t="s">
        <v>6253</v>
      </c>
      <c r="B24" s="9" t="n">
        <v>961</v>
      </c>
      <c r="C24" s="5"/>
    </row>
    <row r="25" customFormat="false" ht="15" hidden="false" customHeight="false" outlineLevel="0" collapsed="false">
      <c r="A25" s="5" t="s">
        <v>6254</v>
      </c>
      <c r="B25" s="9" t="n">
        <v>1211</v>
      </c>
      <c r="C2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52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4" t="s">
        <v>6255</v>
      </c>
      <c r="B1" s="4" t="s">
        <v>6256</v>
      </c>
      <c r="C1" s="4" t="s">
        <v>6257</v>
      </c>
      <c r="D1" s="4" t="s">
        <v>6258</v>
      </c>
      <c r="E1" s="4" t="s">
        <v>6259</v>
      </c>
      <c r="F1" s="4" t="s">
        <v>6260</v>
      </c>
      <c r="G1" s="4" t="s">
        <v>6261</v>
      </c>
    </row>
    <row r="2" customFormat="false" ht="15" hidden="false" customHeight="false" outlineLevel="0" collapsed="false">
      <c r="A2" s="5" t="s">
        <v>6262</v>
      </c>
      <c r="B2" s="5" t="s">
        <v>6263</v>
      </c>
      <c r="C2" s="5" t="s">
        <v>6264</v>
      </c>
      <c r="D2" s="5" t="s">
        <v>6265</v>
      </c>
      <c r="E2" s="5" t="s">
        <v>100</v>
      </c>
      <c r="F2" s="5" t="s">
        <v>6266</v>
      </c>
      <c r="G2" s="5" t="s">
        <v>6267</v>
      </c>
    </row>
    <row r="3" customFormat="false" ht="15" hidden="false" customHeight="false" outlineLevel="0" collapsed="false">
      <c r="A3" s="5" t="s">
        <v>6262</v>
      </c>
      <c r="B3" s="5" t="s">
        <v>6268</v>
      </c>
      <c r="C3" s="5" t="s">
        <v>6269</v>
      </c>
      <c r="D3" s="5"/>
      <c r="E3" s="5" t="s">
        <v>100</v>
      </c>
      <c r="F3" s="5" t="s">
        <v>6270</v>
      </c>
      <c r="G3" s="5" t="s">
        <v>6271</v>
      </c>
    </row>
    <row r="4" customFormat="false" ht="15" hidden="false" customHeight="false" outlineLevel="0" collapsed="false">
      <c r="A4" s="5" t="s">
        <v>6272</v>
      </c>
      <c r="B4" s="5" t="s">
        <v>6273</v>
      </c>
      <c r="C4" s="5" t="s">
        <v>6264</v>
      </c>
      <c r="D4" s="5" t="s">
        <v>6265</v>
      </c>
      <c r="E4" s="5" t="s">
        <v>100</v>
      </c>
      <c r="F4" s="5" t="s">
        <v>6266</v>
      </c>
      <c r="G4" s="5" t="s">
        <v>6267</v>
      </c>
    </row>
    <row r="5" customFormat="false" ht="15" hidden="false" customHeight="false" outlineLevel="0" collapsed="false">
      <c r="A5" s="5" t="s">
        <v>6272</v>
      </c>
      <c r="B5" s="5" t="s">
        <v>6274</v>
      </c>
      <c r="C5" s="5" t="s">
        <v>6269</v>
      </c>
      <c r="D5" s="5"/>
      <c r="E5" s="5" t="s">
        <v>100</v>
      </c>
      <c r="F5" s="5" t="s">
        <v>6275</v>
      </c>
      <c r="G5" s="5" t="s">
        <v>6276</v>
      </c>
    </row>
    <row r="6" customFormat="false" ht="15" hidden="false" customHeight="false" outlineLevel="0" collapsed="false">
      <c r="A6" s="5" t="s">
        <v>6272</v>
      </c>
      <c r="B6" s="5" t="s">
        <v>6263</v>
      </c>
      <c r="C6" s="5" t="s">
        <v>6264</v>
      </c>
      <c r="D6" s="5" t="s">
        <v>6277</v>
      </c>
      <c r="E6" s="5" t="s">
        <v>100</v>
      </c>
      <c r="F6" s="5" t="s">
        <v>6278</v>
      </c>
      <c r="G6" s="5" t="s">
        <v>6279</v>
      </c>
    </row>
    <row r="7" customFormat="false" ht="15" hidden="false" customHeight="false" outlineLevel="0" collapsed="false">
      <c r="A7" s="5" t="s">
        <v>6280</v>
      </c>
      <c r="B7" s="5" t="s">
        <v>6281</v>
      </c>
      <c r="C7" s="5" t="s">
        <v>6264</v>
      </c>
      <c r="D7" s="5" t="s">
        <v>6265</v>
      </c>
      <c r="E7" s="5" t="s">
        <v>100</v>
      </c>
      <c r="F7" s="5" t="s">
        <v>6266</v>
      </c>
      <c r="G7" s="5" t="s">
        <v>6267</v>
      </c>
    </row>
    <row r="8" customFormat="false" ht="15" hidden="false" customHeight="false" outlineLevel="0" collapsed="false">
      <c r="A8" s="5" t="s">
        <v>6280</v>
      </c>
      <c r="B8" s="5" t="s">
        <v>6282</v>
      </c>
      <c r="C8" s="5" t="s">
        <v>6283</v>
      </c>
      <c r="D8" s="5"/>
      <c r="E8" s="5" t="s">
        <v>100</v>
      </c>
      <c r="F8" s="5" t="s">
        <v>6284</v>
      </c>
      <c r="G8" s="5" t="s">
        <v>6285</v>
      </c>
    </row>
    <row r="9" customFormat="false" ht="15" hidden="false" customHeight="false" outlineLevel="0" collapsed="false">
      <c r="A9" s="5" t="s">
        <v>6280</v>
      </c>
      <c r="B9" s="5" t="s">
        <v>6273</v>
      </c>
      <c r="C9" s="5" t="s">
        <v>6264</v>
      </c>
      <c r="D9" s="5" t="s">
        <v>6277</v>
      </c>
      <c r="E9" s="5" t="s">
        <v>100</v>
      </c>
      <c r="F9" s="5" t="s">
        <v>6286</v>
      </c>
      <c r="G9" s="5" t="s">
        <v>6287</v>
      </c>
    </row>
    <row r="10" customFormat="false" ht="15" hidden="false" customHeight="false" outlineLevel="0" collapsed="false">
      <c r="A10" s="5" t="s">
        <v>6288</v>
      </c>
      <c r="B10" s="5" t="s">
        <v>6289</v>
      </c>
      <c r="C10" s="5" t="s">
        <v>6264</v>
      </c>
      <c r="D10" s="5" t="s">
        <v>6265</v>
      </c>
      <c r="E10" s="5" t="s">
        <v>100</v>
      </c>
      <c r="F10" s="5" t="s">
        <v>6266</v>
      </c>
      <c r="G10" s="5" t="s">
        <v>6267</v>
      </c>
    </row>
    <row r="11" customFormat="false" ht="15" hidden="false" customHeight="false" outlineLevel="0" collapsed="false">
      <c r="A11" s="5" t="s">
        <v>6288</v>
      </c>
      <c r="B11" s="5" t="s">
        <v>6290</v>
      </c>
      <c r="C11" s="5" t="s">
        <v>6291</v>
      </c>
      <c r="D11" s="5"/>
      <c r="E11" s="5" t="s">
        <v>100</v>
      </c>
      <c r="F11" s="5" t="s">
        <v>6292</v>
      </c>
      <c r="G11" s="5" t="s">
        <v>6293</v>
      </c>
    </row>
    <row r="12" customFormat="false" ht="15" hidden="false" customHeight="false" outlineLevel="0" collapsed="false">
      <c r="A12" s="5" t="s">
        <v>6294</v>
      </c>
      <c r="B12" s="5" t="s">
        <v>6295</v>
      </c>
      <c r="C12" s="5" t="s">
        <v>6264</v>
      </c>
      <c r="D12" s="5" t="s">
        <v>6265</v>
      </c>
      <c r="E12" s="5" t="s">
        <v>100</v>
      </c>
      <c r="F12" s="5" t="s">
        <v>6266</v>
      </c>
      <c r="G12" s="5" t="s">
        <v>6267</v>
      </c>
    </row>
    <row r="13" customFormat="false" ht="15" hidden="false" customHeight="false" outlineLevel="0" collapsed="false">
      <c r="A13" s="5" t="s">
        <v>6294</v>
      </c>
      <c r="B13" s="5" t="s">
        <v>6296</v>
      </c>
      <c r="C13" s="5" t="s">
        <v>6269</v>
      </c>
      <c r="D13" s="5"/>
      <c r="E13" s="5" t="s">
        <v>100</v>
      </c>
      <c r="F13" s="5" t="s">
        <v>6297</v>
      </c>
      <c r="G13" s="5" t="s">
        <v>6298</v>
      </c>
    </row>
    <row r="14" customFormat="false" ht="15" hidden="false" customHeight="false" outlineLevel="0" collapsed="false">
      <c r="A14" s="5" t="s">
        <v>6299</v>
      </c>
      <c r="B14" s="5" t="s">
        <v>6300</v>
      </c>
      <c r="C14" s="5" t="s">
        <v>6264</v>
      </c>
      <c r="D14" s="5" t="s">
        <v>6265</v>
      </c>
      <c r="E14" s="5" t="s">
        <v>100</v>
      </c>
      <c r="F14" s="5" t="s">
        <v>6266</v>
      </c>
      <c r="G14" s="5" t="s">
        <v>6267</v>
      </c>
    </row>
    <row r="15" customFormat="false" ht="15" hidden="false" customHeight="false" outlineLevel="0" collapsed="false">
      <c r="A15" s="5" t="s">
        <v>6299</v>
      </c>
      <c r="B15" s="5" t="s">
        <v>6301</v>
      </c>
      <c r="C15" s="5" t="s">
        <v>6302</v>
      </c>
      <c r="D15" s="5"/>
      <c r="E15" s="5" t="s">
        <v>100</v>
      </c>
      <c r="F15" s="5" t="s">
        <v>6303</v>
      </c>
      <c r="G15" s="5" t="s">
        <v>6293</v>
      </c>
    </row>
    <row r="16" customFormat="false" ht="15" hidden="false" customHeight="false" outlineLevel="0" collapsed="false">
      <c r="A16" s="5" t="s">
        <v>6299</v>
      </c>
      <c r="B16" s="5" t="s">
        <v>6304</v>
      </c>
      <c r="C16" s="5" t="s">
        <v>6305</v>
      </c>
      <c r="D16" s="5"/>
      <c r="E16" s="5" t="s">
        <v>100</v>
      </c>
      <c r="F16" s="5" t="s">
        <v>6306</v>
      </c>
      <c r="G16" s="5"/>
    </row>
    <row r="17" customFormat="false" ht="15" hidden="false" customHeight="false" outlineLevel="0" collapsed="false">
      <c r="A17" s="5" t="s">
        <v>6307</v>
      </c>
      <c r="B17" s="5" t="s">
        <v>6308</v>
      </c>
      <c r="C17" s="5" t="s">
        <v>6264</v>
      </c>
      <c r="D17" s="5" t="s">
        <v>6265</v>
      </c>
      <c r="E17" s="5" t="s">
        <v>100</v>
      </c>
      <c r="F17" s="5" t="s">
        <v>6309</v>
      </c>
      <c r="G17" s="5" t="s">
        <v>6310</v>
      </c>
    </row>
    <row r="18" customFormat="false" ht="15" hidden="false" customHeight="false" outlineLevel="0" collapsed="false">
      <c r="A18" s="5" t="s">
        <v>6307</v>
      </c>
      <c r="B18" s="5" t="s">
        <v>6311</v>
      </c>
      <c r="C18" s="5" t="s">
        <v>6302</v>
      </c>
      <c r="D18" s="5"/>
      <c r="E18" s="5" t="s">
        <v>100</v>
      </c>
      <c r="F18" s="5" t="s">
        <v>6312</v>
      </c>
      <c r="G18" s="5" t="s">
        <v>6293</v>
      </c>
    </row>
    <row r="19" customFormat="false" ht="15" hidden="false" customHeight="false" outlineLevel="0" collapsed="false">
      <c r="A19" s="5" t="s">
        <v>6307</v>
      </c>
      <c r="B19" s="5" t="s">
        <v>6313</v>
      </c>
      <c r="C19" s="5" t="s">
        <v>6305</v>
      </c>
      <c r="D19" s="5"/>
      <c r="E19" s="5" t="s">
        <v>100</v>
      </c>
      <c r="F19" s="5" t="s">
        <v>6314</v>
      </c>
      <c r="G19" s="5" t="s">
        <v>6315</v>
      </c>
    </row>
    <row r="20" customFormat="false" ht="15" hidden="false" customHeight="false" outlineLevel="0" collapsed="false">
      <c r="A20" s="5" t="s">
        <v>6307</v>
      </c>
      <c r="B20" s="5" t="s">
        <v>6289</v>
      </c>
      <c r="C20" s="5" t="s">
        <v>6264</v>
      </c>
      <c r="D20" s="5" t="s">
        <v>6277</v>
      </c>
      <c r="E20" s="5" t="s">
        <v>100</v>
      </c>
      <c r="F20" s="5" t="s">
        <v>6316</v>
      </c>
      <c r="G20" s="5" t="s">
        <v>6279</v>
      </c>
    </row>
    <row r="21" customFormat="false" ht="15" hidden="false" customHeight="false" outlineLevel="0" collapsed="false">
      <c r="A21" s="5" t="s">
        <v>6307</v>
      </c>
      <c r="B21" s="5" t="s">
        <v>6295</v>
      </c>
      <c r="C21" s="5" t="s">
        <v>6264</v>
      </c>
      <c r="D21" s="5" t="s">
        <v>6277</v>
      </c>
      <c r="E21" s="5" t="s">
        <v>100</v>
      </c>
      <c r="F21" s="5" t="s">
        <v>6317</v>
      </c>
      <c r="G21" s="5" t="s">
        <v>6279</v>
      </c>
    </row>
    <row r="22" customFormat="false" ht="15" hidden="false" customHeight="false" outlineLevel="0" collapsed="false">
      <c r="A22" s="5" t="s">
        <v>6307</v>
      </c>
      <c r="B22" s="5" t="s">
        <v>6300</v>
      </c>
      <c r="C22" s="5" t="s">
        <v>6264</v>
      </c>
      <c r="D22" s="5" t="s">
        <v>6277</v>
      </c>
      <c r="E22" s="5" t="s">
        <v>100</v>
      </c>
      <c r="F22" s="5" t="s">
        <v>6318</v>
      </c>
      <c r="G22" s="5" t="s">
        <v>6279</v>
      </c>
    </row>
    <row r="23" customFormat="false" ht="15" hidden="false" customHeight="false" outlineLevel="0" collapsed="false">
      <c r="A23" s="5" t="s">
        <v>6307</v>
      </c>
      <c r="B23" s="5" t="s">
        <v>6281</v>
      </c>
      <c r="C23" s="5" t="s">
        <v>6264</v>
      </c>
      <c r="D23" s="5" t="s">
        <v>6277</v>
      </c>
      <c r="E23" s="5" t="s">
        <v>100</v>
      </c>
      <c r="F23" s="5" t="s">
        <v>6319</v>
      </c>
      <c r="G23" s="5" t="s">
        <v>6279</v>
      </c>
    </row>
    <row r="24" customFormat="false" ht="15" hidden="false" customHeight="false" outlineLevel="0" collapsed="false">
      <c r="A24" s="5" t="s">
        <v>6307</v>
      </c>
      <c r="B24" s="5" t="s">
        <v>6320</v>
      </c>
      <c r="C24" s="5" t="s">
        <v>6321</v>
      </c>
      <c r="D24" s="5"/>
      <c r="E24" s="5" t="s">
        <v>98</v>
      </c>
      <c r="F24" s="5" t="s">
        <v>6322</v>
      </c>
      <c r="G24" s="5" t="s">
        <v>6323</v>
      </c>
    </row>
    <row r="25" customFormat="false" ht="15" hidden="false" customHeight="false" outlineLevel="0" collapsed="false">
      <c r="A25" s="5" t="s">
        <v>6307</v>
      </c>
      <c r="B25" s="5" t="s">
        <v>6324</v>
      </c>
      <c r="C25" s="5" t="s">
        <v>6321</v>
      </c>
      <c r="D25" s="5"/>
      <c r="E25" s="5" t="s">
        <v>98</v>
      </c>
      <c r="F25" s="5" t="s">
        <v>6325</v>
      </c>
      <c r="G25" s="5" t="s">
        <v>6326</v>
      </c>
    </row>
    <row r="26" customFormat="false" ht="15" hidden="false" customHeight="false" outlineLevel="0" collapsed="false">
      <c r="A26" s="5" t="s">
        <v>6307</v>
      </c>
      <c r="B26" s="5" t="s">
        <v>6327</v>
      </c>
      <c r="C26" s="5" t="s">
        <v>6321</v>
      </c>
      <c r="D26" s="5"/>
      <c r="E26" s="5" t="s">
        <v>98</v>
      </c>
      <c r="F26" s="5" t="s">
        <v>6328</v>
      </c>
      <c r="G26" s="5" t="s">
        <v>6326</v>
      </c>
    </row>
    <row r="27" customFormat="false" ht="15" hidden="false" customHeight="false" outlineLevel="0" collapsed="false">
      <c r="A27" s="5" t="s">
        <v>6307</v>
      </c>
      <c r="B27" s="5" t="s">
        <v>6329</v>
      </c>
      <c r="C27" s="5" t="s">
        <v>6330</v>
      </c>
      <c r="D27" s="5"/>
      <c r="E27" s="5" t="s">
        <v>98</v>
      </c>
      <c r="F27" s="5" t="s">
        <v>6331</v>
      </c>
      <c r="G27" s="5" t="s">
        <v>6332</v>
      </c>
    </row>
    <row r="28" customFormat="false" ht="15" hidden="false" customHeight="false" outlineLevel="0" collapsed="false">
      <c r="A28" s="5" t="s">
        <v>6307</v>
      </c>
      <c r="B28" s="5" t="s">
        <v>6333</v>
      </c>
      <c r="C28" s="5" t="s">
        <v>6334</v>
      </c>
      <c r="D28" s="5"/>
      <c r="E28" s="5" t="s">
        <v>98</v>
      </c>
      <c r="F28" s="5" t="s">
        <v>6335</v>
      </c>
      <c r="G28" s="5" t="s">
        <v>6336</v>
      </c>
    </row>
    <row r="29" customFormat="false" ht="15" hidden="false" customHeight="false" outlineLevel="0" collapsed="false">
      <c r="A29" s="5" t="s">
        <v>6307</v>
      </c>
      <c r="B29" s="5" t="s">
        <v>6337</v>
      </c>
      <c r="C29" s="5" t="s">
        <v>6334</v>
      </c>
      <c r="D29" s="5"/>
      <c r="E29" s="5" t="s">
        <v>98</v>
      </c>
      <c r="F29" s="5" t="s">
        <v>6338</v>
      </c>
      <c r="G29" s="5" t="s">
        <v>6339</v>
      </c>
    </row>
    <row r="30" customFormat="false" ht="15" hidden="false" customHeight="false" outlineLevel="0" collapsed="false">
      <c r="A30" s="5" t="s">
        <v>6307</v>
      </c>
      <c r="B30" s="5" t="s">
        <v>6340</v>
      </c>
      <c r="C30" s="5" t="s">
        <v>6341</v>
      </c>
      <c r="D30" s="5"/>
      <c r="E30" s="5" t="s">
        <v>100</v>
      </c>
      <c r="F30" s="5" t="s">
        <v>6342</v>
      </c>
      <c r="G30" s="5" t="s">
        <v>6343</v>
      </c>
    </row>
    <row r="31" customFormat="false" ht="15" hidden="false" customHeight="false" outlineLevel="0" collapsed="false">
      <c r="A31" s="5" t="s">
        <v>6307</v>
      </c>
      <c r="B31" s="5" t="s">
        <v>6344</v>
      </c>
      <c r="C31" s="5" t="s">
        <v>6341</v>
      </c>
      <c r="D31" s="5"/>
      <c r="E31" s="5" t="s">
        <v>100</v>
      </c>
      <c r="F31" s="5" t="s">
        <v>6345</v>
      </c>
      <c r="G31" s="5" t="s">
        <v>6346</v>
      </c>
    </row>
    <row r="32" customFormat="false" ht="15" hidden="false" customHeight="false" outlineLevel="0" collapsed="false">
      <c r="A32" s="5" t="s">
        <v>6347</v>
      </c>
      <c r="B32" s="5" t="s">
        <v>6308</v>
      </c>
      <c r="C32" s="5" t="s">
        <v>6264</v>
      </c>
      <c r="D32" s="5" t="s">
        <v>6348</v>
      </c>
      <c r="E32" s="5" t="s">
        <v>100</v>
      </c>
      <c r="F32" s="5" t="s">
        <v>6349</v>
      </c>
      <c r="G32" s="5" t="s">
        <v>6350</v>
      </c>
    </row>
    <row r="33" customFormat="false" ht="15" hidden="false" customHeight="false" outlineLevel="0" collapsed="false">
      <c r="A33" s="5" t="s">
        <v>6347</v>
      </c>
      <c r="B33" s="5" t="s">
        <v>6351</v>
      </c>
      <c r="C33" s="5" t="s">
        <v>6291</v>
      </c>
      <c r="D33" s="5"/>
      <c r="E33" s="5" t="s">
        <v>98</v>
      </c>
      <c r="F33" s="5" t="s">
        <v>6352</v>
      </c>
      <c r="G33" s="5" t="s">
        <v>6353</v>
      </c>
    </row>
    <row r="34" customFormat="false" ht="15" hidden="false" customHeight="false" outlineLevel="0" collapsed="false">
      <c r="A34" s="5" t="s">
        <v>6347</v>
      </c>
      <c r="B34" s="5" t="s">
        <v>6354</v>
      </c>
      <c r="C34" s="5" t="s">
        <v>6305</v>
      </c>
      <c r="D34" s="5"/>
      <c r="E34" s="5" t="s">
        <v>98</v>
      </c>
      <c r="F34" s="5" t="s">
        <v>6355</v>
      </c>
      <c r="G34" s="5" t="s">
        <v>6356</v>
      </c>
    </row>
    <row r="35" customFormat="false" ht="15" hidden="false" customHeight="false" outlineLevel="0" collapsed="false">
      <c r="A35" s="5" t="s">
        <v>6347</v>
      </c>
      <c r="B35" s="5" t="s">
        <v>6357</v>
      </c>
      <c r="C35" s="5" t="s">
        <v>6358</v>
      </c>
      <c r="D35" s="5"/>
      <c r="E35" s="5" t="s">
        <v>98</v>
      </c>
      <c r="F35" s="5" t="s">
        <v>6359</v>
      </c>
      <c r="G35" s="5" t="s">
        <v>6360</v>
      </c>
    </row>
    <row r="36" customFormat="false" ht="15" hidden="false" customHeight="false" outlineLevel="0" collapsed="false">
      <c r="A36" s="5" t="s">
        <v>6347</v>
      </c>
      <c r="B36" s="5" t="s">
        <v>6361</v>
      </c>
      <c r="C36" s="5" t="s">
        <v>6291</v>
      </c>
      <c r="D36" s="5"/>
      <c r="E36" s="5" t="s">
        <v>98</v>
      </c>
      <c r="F36" s="5" t="s">
        <v>6362</v>
      </c>
      <c r="G36" s="5" t="s">
        <v>6363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2026-10-15T00:45:36Z</dcterms:created>
  <dc:creator>openpyxl</dc:creator>
  <dc:description/>
  <dc:language>en-US</dc:language>
  <cp:lastModifiedBy/>
  <dcterms:modified xsi:type="dcterms:W3CDTF">2026-10-15T00:45:38Z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